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worksheets/sheet16.xml" ContentType="application/vnd.openxmlformats-officedocument.spreadsheetml.worksheet+xml"/>
  <Override PartName="/xl/tables/table28.xml" ContentType="application/vnd.openxmlformats-officedocument.spreadsheetml.table+xml"/>
  <Override PartName="/xl/worksheets/sheet17.xml" ContentType="application/vnd.openxmlformats-officedocument.spreadsheetml.worksheet+xml"/>
  <Override PartName="/xl/tables/table29.xml" ContentType="application/vnd.openxmlformats-officedocument.spreadsheetml.table+xml"/>
  <Override PartName="/xl/worksheets/sheet18.xml" ContentType="application/vnd.openxmlformats-officedocument.spreadsheetml.worksheet+xml"/>
  <Override PartName="/xl/tables/table30.xml" ContentType="application/vnd.openxmlformats-officedocument.spreadsheetml.table+xml"/>
  <Override PartName="/xl/worksheets/sheet19.xml" ContentType="application/vnd.openxmlformats-officedocument.spreadsheetml.worksheet+xml"/>
  <Override PartName="/xl/tables/table31.xml" ContentType="application/vnd.openxmlformats-officedocument.spreadsheetml.table+xml"/>
  <Override PartName="/xl/worksheets/sheet20.xml" ContentType="application/vnd.openxmlformats-officedocument.spreadsheetml.worksheet+xml"/>
  <Override PartName="/xl/tables/table32.xml" ContentType="application/vnd.openxmlformats-officedocument.spreadsheetml.table+xml"/>
  <Override PartName="/xl/worksheets/sheet21.xml" ContentType="application/vnd.openxmlformats-officedocument.spreadsheetml.worksheet+xml"/>
  <Override PartName="/xl/tables/table33.xml" ContentType="application/vnd.openxmlformats-officedocument.spreadsheetml.table+xml"/>
  <Override PartName="/xl/worksheets/sheet22.xml" ContentType="application/vnd.openxmlformats-officedocument.spreadsheetml.worksheet+xml"/>
  <Override PartName="/xl/tables/table34.xml" ContentType="application/vnd.openxmlformats-officedocument.spreadsheetml.table+xml"/>
  <Override PartName="/xl/worksheets/sheet23.xml" ContentType="application/vnd.openxmlformats-officedocument.spreadsheetml.worksheet+xml"/>
  <Override PartName="/xl/tables/table35.xml" ContentType="application/vnd.openxmlformats-officedocument.spreadsheetml.table+xml"/>
  <Override PartName="/xl/worksheets/sheet24.xml" ContentType="application/vnd.openxmlformats-officedocument.spreadsheetml.worksheet+xml"/>
  <Override PartName="/xl/tables/table36.xml" ContentType="application/vnd.openxmlformats-officedocument.spreadsheetml.table+xml"/>
  <Override PartName="/xl/worksheets/sheet25.xml" ContentType="application/vnd.openxmlformats-officedocument.spreadsheetml.worksheet+xml"/>
  <Override PartName="/xl/tables/table37.xml" ContentType="application/vnd.openxmlformats-officedocument.spreadsheetml.table+xml"/>
  <Override PartName="/xl/worksheets/sheet26.xml" ContentType="application/vnd.openxmlformats-officedocument.spreadsheetml.worksheet+xml"/>
  <Override PartName="/xl/tables/table38.xml" ContentType="application/vnd.openxmlformats-officedocument.spreadsheetml.table+xml"/>
  <Override PartName="/xl/worksheets/sheet27.xml" ContentType="application/vnd.openxmlformats-officedocument.spreadsheetml.worksheet+xml"/>
  <Override PartName="/xl/tables/table39.xml" ContentType="application/vnd.openxmlformats-officedocument.spreadsheetml.table+xml"/>
  <Override PartName="/xl/worksheets/sheet28.xml" ContentType="application/vnd.openxmlformats-officedocument.spreadsheetml.worksheet+xml"/>
  <Override PartName="/xl/tables/table40.xml" ContentType="application/vnd.openxmlformats-officedocument.spreadsheetml.table+xml"/>
  <Override PartName="/xl/worksheets/sheet29.xml" ContentType="application/vnd.openxmlformats-officedocument.spreadsheetml.worksheet+xml"/>
  <Override PartName="/xl/tables/table41.xml" ContentType="application/vnd.openxmlformats-officedocument.spreadsheetml.table+xml"/>
  <Override PartName="/xl/worksheets/sheet30.xml" ContentType="application/vnd.openxmlformats-officedocument.spreadsheetml.worksheet+xml"/>
  <Override PartName="/xl/tables/table42.xml" ContentType="application/vnd.openxmlformats-officedocument.spreadsheetml.table+xml"/>
  <Override PartName="/xl/worksheets/sheet31.xml" ContentType="application/vnd.openxmlformats-officedocument.spreadsheetml.worksheet+xml"/>
  <Override PartName="/xl/tables/table43.xml" ContentType="application/vnd.openxmlformats-officedocument.spreadsheetml.table+xml"/>
  <Override PartName="/xl/worksheets/sheet32.xml" ContentType="application/vnd.openxmlformats-officedocument.spreadsheetml.worksheet+xml"/>
  <Override PartName="/xl/tables/table44.xml" ContentType="application/vnd.openxmlformats-officedocument.spreadsheetml.table+xml"/>
  <Override PartName="/xl/worksheets/sheet33.xml" ContentType="application/vnd.openxmlformats-officedocument.spreadsheetml.worksheet+xml"/>
  <Override PartName="/xl/tables/table45.xml" ContentType="application/vnd.openxmlformats-officedocument.spreadsheetml.table+xml"/>
  <Override PartName="/xl/worksheets/sheet34.xml" ContentType="application/vnd.openxmlformats-officedocument.spreadsheetml.worksheet+xml"/>
  <Override PartName="/xl/tables/table46.xml" ContentType="application/vnd.openxmlformats-officedocument.spreadsheetml.table+xml"/>
  <Override PartName="/xl/worksheets/sheet35.xml" ContentType="application/vnd.openxmlformats-officedocument.spreadsheetml.worksheet+xml"/>
  <Override PartName="/xl/tables/table47.xml" ContentType="application/vnd.openxmlformats-officedocument.spreadsheetml.table+xml"/>
  <Override PartName="/xl/worksheets/sheet36.xml" ContentType="application/vnd.openxmlformats-officedocument.spreadsheetml.worksheet+xml"/>
  <Override PartName="/xl/tables/table48.xml" ContentType="application/vnd.openxmlformats-officedocument.spreadsheetml.table+xml"/>
  <Override PartName="/xl/worksheets/sheet37.xml" ContentType="application/vnd.openxmlformats-officedocument.spreadsheetml.worksheet+xml"/>
  <Override PartName="/xl/tables/table49.xml" ContentType="application/vnd.openxmlformats-officedocument.spreadsheetml.table+xml"/>
  <Override PartName="/xl/worksheets/sheet38.xml" ContentType="application/vnd.openxmlformats-officedocument.spreadsheetml.worksheet+xml"/>
  <Override PartName="/xl/tables/table50.xml" ContentType="application/vnd.openxmlformats-officedocument.spreadsheetml.table+xml"/>
  <Override PartName="/xl/worksheets/sheet39.xml" ContentType="application/vnd.openxmlformats-officedocument.spreadsheetml.worksheet+xml"/>
  <Override PartName="/xl/tables/table51.xml" ContentType="application/vnd.openxmlformats-officedocument.spreadsheetml.table+xml"/>
  <Override PartName="/xl/worksheets/sheet40.xml" ContentType="application/vnd.openxmlformats-officedocument.spreadsheetml.worksheet+xml"/>
  <Override PartName="/xl/tables/table52.xml" ContentType="application/vnd.openxmlformats-officedocument.spreadsheetml.table+xml"/>
  <Override PartName="/xl/worksheets/sheet41.xml" ContentType="application/vnd.openxmlformats-officedocument.spreadsheetml.worksheet+xml"/>
  <Override PartName="/xl/tables/table53.xml" ContentType="application/vnd.openxmlformats-officedocument.spreadsheetml.table+xml"/>
  <Override PartName="/xl/worksheets/sheet42.xml" ContentType="application/vnd.openxmlformats-officedocument.spreadsheetml.worksheet+xml"/>
  <Override PartName="/xl/tables/table54.xml" ContentType="application/vnd.openxmlformats-officedocument.spreadsheetml.table+xml"/>
  <Override PartName="/xl/worksheets/sheet43.xml" ContentType="application/vnd.openxmlformats-officedocument.spreadsheetml.worksheet+xml"/>
  <Override PartName="/xl/tables/table55.xml" ContentType="application/vnd.openxmlformats-officedocument.spreadsheetml.table+xml"/>
  <Override PartName="/xl/worksheets/sheet44.xml" ContentType="application/vnd.openxmlformats-officedocument.spreadsheetml.worksheet+xml"/>
  <Override PartName="/xl/tables/table56.xml" ContentType="application/vnd.openxmlformats-officedocument.spreadsheetml.table+xml"/>
  <Override PartName="/xl/worksheets/sheet45.xml" ContentType="application/vnd.openxmlformats-officedocument.spreadsheetml.worksheet+xml"/>
  <Override PartName="/xl/tables/table57.xml" ContentType="application/vnd.openxmlformats-officedocument.spreadsheetml.table+xml"/>
  <Override PartName="/xl/worksheets/sheet46.xml" ContentType="application/vnd.openxmlformats-officedocument.spreadsheetml.worksheet+xml"/>
  <Override PartName="/xl/tables/table58.xml" ContentType="application/vnd.openxmlformats-officedocument.spreadsheetml.table+xml"/>
  <Override PartName="/xl/worksheets/sheet47.xml" ContentType="application/vnd.openxmlformats-officedocument.spreadsheetml.worksheet+xml"/>
  <Override PartName="/xl/tables/table59.xml" ContentType="application/vnd.openxmlformats-officedocument.spreadsheetml.table+xml"/>
  <Override PartName="/xl/worksheets/sheet48.xml" ContentType="application/vnd.openxmlformats-officedocument.spreadsheetml.worksheet+xml"/>
  <Override PartName="/xl/tables/table60.xml" ContentType="application/vnd.openxmlformats-officedocument.spreadsheetml.table+xml"/>
  <Override PartName="/xl/worksheets/sheet49.xml" ContentType="application/vnd.openxmlformats-officedocument.spreadsheetml.worksheet+xml"/>
  <Override PartName="/xl/tables/table61.xml" ContentType="application/vnd.openxmlformats-officedocument.spreadsheetml.table+xml"/>
  <Override PartName="/xl/worksheets/sheet50.xml" ContentType="application/vnd.openxmlformats-officedocument.spreadsheetml.worksheet+xml"/>
  <Override PartName="/xl/tables/table62.xml" ContentType="application/vnd.openxmlformats-officedocument.spreadsheetml.table+xml"/>
  <Override PartName="/xl/worksheets/sheet51.xml" ContentType="application/vnd.openxmlformats-officedocument.spreadsheetml.worksheet+xml"/>
  <Override PartName="/xl/tables/table63.xml" ContentType="application/vnd.openxmlformats-officedocument.spreadsheetml.table+xml"/>
  <Override PartName="/xl/worksheets/sheet52.xml" ContentType="application/vnd.openxmlformats-officedocument.spreadsheetml.worksheet+xml"/>
  <Override PartName="/xl/tables/table64.xml" ContentType="application/vnd.openxmlformats-officedocument.spreadsheetml.table+xml"/>
  <Override PartName="/xl/worksheets/sheet53.xml" ContentType="application/vnd.openxmlformats-officedocument.spreadsheetml.worksheet+xml"/>
  <Override PartName="/xl/tables/table65.xml" ContentType="application/vnd.openxmlformats-officedocument.spreadsheetml.table+xml"/>
  <Override PartName="/xl/worksheets/sheet54.xml" ContentType="application/vnd.openxmlformats-officedocument.spreadsheetml.worksheet+xml"/>
  <Override PartName="/xl/tables/table66.xml" ContentType="application/vnd.openxmlformats-officedocument.spreadsheetml.table+xml"/>
  <Override PartName="/xl/worksheets/sheet55.xml" ContentType="application/vnd.openxmlformats-officedocument.spreadsheetml.worksheet+xml"/>
  <Override PartName="/xl/tables/table67.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24F" lockStructure="1" lockWindows="0"/>
  <bookViews>
    <workbookView visibility="visible" minimized="0" showHorizontalScroll="1" showVerticalScroll="1" showSheetTabs="1" tabRatio="600" firstSheet="0" activeTab="0" autoFilterDateGrouping="1"/>
  </bookViews>
  <sheets>
    <sheet name="01_Home" sheetId="1" state="visible" r:id="rId1"/>
    <sheet name="02_Partner_Dashboard" sheetId="2" state="visible" r:id="rId2"/>
    <sheet name="03_CEO_Dashboard" sheetId="3" state="visible" r:id="rId3"/>
    <sheet name="04_Sales" sheetId="4" state="visible" r:id="rId4"/>
    <sheet name="05_Products" sheetId="5" state="visible" r:id="rId5"/>
    <sheet name="06_Customers" sheetId="6" state="visible" r:id="rId6"/>
    <sheet name="07_Inventory" sheetId="7" state="visible" r:id="rId7"/>
    <sheet name="08_Finance" sheetId="8" state="visible" r:id="rId8"/>
    <sheet name="09_Profitability" sheetId="9" state="visible" r:id="rId9"/>
    <sheet name="10_Expenses" sheetId="10" state="visible" r:id="rId10"/>
    <sheet name="11_Capital" sheetId="11" state="visible" r:id="rId11"/>
    <sheet name="12_Suppliers" sheetId="12" state="visible" r:id="rId12"/>
    <sheet name="13_Marketing" sheetId="13" state="visible" r:id="rId13"/>
    <sheet name="14_Data_Quality" sheetId="14" state="visible" r:id="rId14"/>
    <sheet name="15_Settings" sheetId="15" state="visible" r:id="rId15"/>
    <sheet name="RAW_Orders" sheetId="16" state="hidden" r:id="rId16"/>
    <sheet name="RAW_OrderLines" sheetId="17" state="hidden" r:id="rId17"/>
    <sheet name="RAW_Transactions" sheetId="18" state="hidden" r:id="rId18"/>
    <sheet name="RAW_Refunds" sheetId="19" state="hidden" r:id="rId19"/>
    <sheet name="RAW_Products" sheetId="20" state="hidden" r:id="rId20"/>
    <sheet name="RAW_Variants" sheetId="21" state="hidden" r:id="rId21"/>
    <sheet name="RAW_InventoryLevels" sheetId="22" state="hidden" r:id="rId22"/>
    <sheet name="RAW_Customers" sheetId="23" state="hidden" r:id="rId23"/>
    <sheet name="RAW_Collections" sheetId="24" state="hidden" r:id="rId24"/>
    <sheet name="RAW_Discounts" sheetId="25" state="hidden" r:id="rId25"/>
    <sheet name="DIM_Date" sheetId="26" state="hidden" r:id="rId26"/>
    <sheet name="DIM_Product" sheetId="27" state="hidden" r:id="rId27"/>
    <sheet name="DIM_Customer" sheetId="28" state="hidden" r:id="rId28"/>
    <sheet name="DIM_Location" sheetId="29" state="hidden" r:id="rId29"/>
    <sheet name="DIM_Collection" sheetId="30" state="hidden" r:id="rId30"/>
    <sheet name="DIM_Parameters" sheetId="31" state="hidden" r:id="rId31"/>
    <sheet name="DIM_Supplier" sheetId="32" state="hidden" r:id="rId32"/>
    <sheet name="DIM_ProductCostHistory" sheetId="33" state="hidden" r:id="rId33"/>
    <sheet name="FACT_OrderLines" sheetId="34" state="hidden" r:id="rId34"/>
    <sheet name="FACT_Refunds" sheetId="35" state="hidden" r:id="rId35"/>
    <sheet name="FACT_InventoryMovements" sheetId="36" state="hidden" r:id="rId36"/>
    <sheet name="FACT_Payments" sheetId="37" state="hidden" r:id="rId37"/>
    <sheet name="FACT_ManualExpenses" sheetId="38" state="hidden" r:id="rId38"/>
    <sheet name="FACT_CapitalTransactions" sheetId="39" state="hidden" r:id="rId39"/>
    <sheet name="FACT_PurchaseOrderHeader" sheetId="40" state="hidden" r:id="rId40"/>
    <sheet name="FACT_PurchaseOrderLines" sheetId="41" state="hidden" r:id="rId41"/>
    <sheet name="FACT_GoodsReceipt" sheetId="42" state="hidden" r:id="rId42"/>
    <sheet name="LOG_RefreshHistory" sheetId="43" state="hidden" r:id="rId43"/>
    <sheet name="LOG_DataQuality" sheetId="44" state="hidden" r:id="rId44"/>
    <sheet name="RAW_MetaAds" sheetId="45" state="hidden" r:id="rId45"/>
    <sheet name="RAW_GoogleAnalytics" sheetId="46" state="hidden" r:id="rId46"/>
    <sheet name="RAW_GoogleAds" sheetId="47" state="hidden" r:id="rId47"/>
    <sheet name="RAW_TikTokAds" sheetId="48" state="hidden" r:id="rId48"/>
    <sheet name="RAW_EmailMarketing" sheetId="49" state="hidden" r:id="rId49"/>
    <sheet name="RAW_InfluencerCampaigns" sheetId="50" state="hidden" r:id="rId50"/>
    <sheet name="FACT_MarketingSpend" sheetId="51" state="hidden" r:id="rId51"/>
    <sheet name="FUTURE_AI_Insights" sheetId="52" state="hidden" r:id="rId52"/>
    <sheet name="BI_Insights" sheetId="53" state="hidden" r:id="rId53"/>
    <sheet name="BI_Alerts" sheetId="54" state="hidden" r:id="rId54"/>
    <sheet name="BI_Forecast" sheetId="55" state="hidden" r:id="rId55"/>
  </sheets>
  <definedNames>
    <definedName name="FilterDateFrom">'01_Home'!$B$32</definedName>
    <definedName name="FilterDateTo">'01_Home'!$D$32</definedName>
    <definedName name="FilterCollection">'01_Home'!$F$32</definedName>
    <definedName name="FilterSKU">'01_Home'!$H$32</definedName>
    <definedName name="FilterSupplier">'01_Home'!$J$32</definedName>
    <definedName name="FilterLocation">'01_Home'!$L$32</definedName>
    <definedName name="FilterCampaign">'01_Home'!$N$32</definedName>
    <definedName name="SetCompanyName">'15_Settings'!$C$13</definedName>
    <definedName name="SetBaseCurrency">'15_Settings'!$C$14</definedName>
    <definedName name="SetReportingCurrency">'15_Settings'!$C$15</definedName>
    <definedName name="SetFiscalYearStartMonth">'15_Settings'!$C$16</definedName>
    <definedName name="SetDefaultVATRate">'15_Settings'!$C$17</definedName>
    <definedName name="SetTargetGrossMargin">'15_Settings'!$C$18</definedName>
    <definedName name="SetShopifyStoreDomain">'15_Settings'!$C$23</definedName>
    <definedName name="SetShopifyAPIVersion">'15_Settings'!$C$24</definedName>
    <definedName name="SetLookbackDaysIncrementalRefresh">'15_Settings'!$C$25</definedName>
    <definedName name="SetHistoricalBackfillStartDate">'15_Settings'!$C$26</definedName>
    <definedName name="SetMaxPagesPerRefreshSafetyCap">'15_Settings'!$C$27</definedName>
    <definedName name="LookupExpenseCategory">=tbl_LookupExpenseCategory[Expense Category]</definedName>
    <definedName name="LookupExpenseSubcategory">=tbl_LookupExpenseSubcategory[Expense Subcategory]</definedName>
    <definedName name="LookupCostCenter">=tbl_LookupCostCenter[Cost Center]</definedName>
    <definedName name="LookupPaymentMethod">=tbl_LookupPaymentMethod[Payment Method]</definedName>
    <definedName name="LookupCurrency">=tbl_LookupCurrency[Currency]</definedName>
    <definedName name="LookupSupplierType">=tbl_LookupSupplierType[Supplier Type]</definedName>
    <definedName name="LookupSupplierStatus">=tbl_LookupSupplierStatus[Supplier Status]</definedName>
    <definedName name="LookupCapitalTransactionType">=tbl_LookupCapitalTransactionType[Capital Transaction Type]</definedName>
    <definedName name="LookupPOStatus">=tbl_LookupPOStatus[PO Status]</definedName>
    <definedName name="LookupWarehouse">=tbl_LookupWarehouse[Warehouse]</definedName>
    <definedName name="LookupOwner">=tbl_LookupOwner[Owner]</definedName>
    <definedName name="LookupBudgetPeriod">=tbl_LookupBudgetPeriod[Budget Period]</definedName>
    <definedName name="LookupBudgetCategory">=tbl_LookupBudgetCategory[Budget Category]</definedName>
    <definedName name="LookupAlertSeverity">=tbl_LookupAlertSeverity[Alert Severity]</definedName>
    <definedName name="SupplierNameList">=tbl_SupplierMaster[Supplier Name]</definedName>
    <definedName name="POHeaderList">=tbl_POHeader[PO Number]</definedName>
    <definedName name="SKUList">=tbl_RAW_Variants[SKU]</definedName>
    <definedName name="CollectionTitleList">=tbl_RAW_Collections[Title]</definedName>
    <definedName name="_xlnm.Print_Area" localSheetId="1">'02_Partner_Dashboard'!$A$1:$L$140</definedName>
    <definedName name="_xlnm.Print_Area" localSheetId="2">'03_CEO_Dashboard'!$A$1:$L$140</definedName>
  </definedNames>
  <calcPr calcId="124519" fullCalcOnLoad="1"/>
</workbook>
</file>

<file path=xl/styles.xml><?xml version="1.0" encoding="utf-8"?>
<styleSheet xmlns="http://schemas.openxmlformats.org/spreadsheetml/2006/main">
  <numFmts count="1">
    <numFmt numFmtId="164" formatCode="0.0%"/>
  </numFmts>
  <fonts count="28">
    <font>
      <name val="Calibri"/>
      <family val="2"/>
      <color theme="1"/>
      <sz val="11"/>
      <scheme val="minor"/>
    </font>
    <font>
      <name val="Segoe UI"/>
      <b val="1"/>
      <color rgb="00FFFFFF"/>
      <sz val="18"/>
    </font>
    <font>
      <name val="Segoe UI"/>
      <i val="1"/>
      <color rgb="00FFFFFF"/>
      <sz val="9"/>
    </font>
    <font>
      <name val="Segoe UI"/>
      <b val="1"/>
      <i val="1"/>
      <color rgb="00595959"/>
      <sz val="8"/>
    </font>
    <font>
      <name val="Segoe UI"/>
      <b val="1"/>
      <color rgb="00595959"/>
      <sz val="8"/>
    </font>
    <font>
      <name val="Segoe UI"/>
      <i val="1"/>
      <color rgb="00595959"/>
      <sz val="8"/>
    </font>
    <font>
      <name val="Segoe UI"/>
      <b val="1"/>
      <color rgb="00D9D9D9"/>
      <sz val="8"/>
    </font>
    <font>
      <name val="Segoe UI"/>
      <b val="1"/>
      <color rgb="00FFFFFF"/>
      <sz val="20"/>
    </font>
    <font>
      <name val="Segoe UI"/>
      <b val="1"/>
      <color rgb="00FFFFFF"/>
      <sz val="13"/>
    </font>
    <font>
      <name val="Segoe UI"/>
      <b val="1"/>
      <color rgb="00595959"/>
      <sz val="10"/>
    </font>
    <font>
      <name val="Segoe UI"/>
      <b val="1"/>
      <color rgb="00FFFFFF"/>
      <sz val="11"/>
    </font>
    <font>
      <name val="Segoe UI"/>
      <b val="1"/>
      <color rgb="00C55A11"/>
      <sz val="9"/>
    </font>
    <font>
      <name val="Segoe UI"/>
      <i val="1"/>
      <color rgb="00595959"/>
      <sz val="9"/>
    </font>
    <font>
      <name val="Segoe UI"/>
      <color rgb="00595959"/>
      <sz val="8"/>
    </font>
    <font>
      <name val="Segoe UI"/>
      <color rgb="007F7F7F"/>
      <sz val="8"/>
    </font>
    <font>
      <name val="Segoe UI"/>
      <color rgb="00D9D9D9"/>
      <sz val="7"/>
    </font>
    <font>
      <name val="Segoe UI"/>
      <color rgb="007F7F7F"/>
      <sz val="9"/>
    </font>
    <font>
      <name val="Segoe UI"/>
      <color rgb="00595959"/>
      <sz val="9"/>
    </font>
    <font>
      <name val="Segoe UI"/>
      <b val="1"/>
      <color rgb="00FFFFFF"/>
      <sz val="9"/>
    </font>
    <font>
      <name val="Segoe UI"/>
      <b val="1"/>
      <color rgb="00000000"/>
      <sz val="12"/>
    </font>
    <font>
      <name val="Segoe UI"/>
      <i val="1"/>
      <color rgb="00008000"/>
      <sz val="9"/>
    </font>
    <font>
      <name val="Segoe UI"/>
      <i val="1"/>
      <color rgb="00C55A11"/>
      <sz val="9"/>
    </font>
    <font>
      <name val="Segoe UI"/>
      <color rgb="00C55A11"/>
      <sz val="9"/>
    </font>
    <font>
      <name val="Segoe UI"/>
      <color rgb="00008000"/>
      <sz val="9"/>
    </font>
    <font>
      <name val="Segoe UI"/>
      <color rgb="000070C0"/>
      <sz val="9"/>
    </font>
    <font>
      <name val="Segoe UI"/>
      <i val="1"/>
      <color rgb="007F7F7F"/>
      <sz val="9"/>
    </font>
    <font>
      <name val="Segoe UI"/>
      <b val="1"/>
      <color rgb="00595959"/>
      <sz val="9"/>
    </font>
    <font>
      <name val="Segoe UI"/>
      <b val="1"/>
      <color rgb="007F7F7F"/>
      <sz val="9"/>
    </font>
  </fonts>
  <fills count="13">
    <fill>
      <patternFill/>
    </fill>
    <fill>
      <patternFill patternType="gray125"/>
    </fill>
    <fill>
      <patternFill patternType="solid"/>
    </fill>
    <fill>
      <patternFill patternType="solid">
        <fgColor rgb="00404040"/>
      </patternFill>
    </fill>
    <fill>
      <patternFill patternType="solid">
        <fgColor rgb="00FFFFFF"/>
      </patternFill>
    </fill>
    <fill>
      <patternFill patternType="solid">
        <fgColor rgb="00FCEEE3"/>
      </patternFill>
    </fill>
    <fill>
      <patternFill patternType="solid">
        <fgColor rgb="00F2F2F2"/>
      </patternFill>
    </fill>
    <fill>
      <patternFill patternType="solid">
        <fgColor rgb="00595959"/>
      </patternFill>
    </fill>
    <fill>
      <patternFill patternType="solid">
        <fgColor rgb="00375623"/>
      </patternFill>
    </fill>
    <fill>
      <patternFill patternType="solid">
        <fgColor rgb="00EAF3EA"/>
      </patternFill>
    </fill>
    <fill>
      <patternFill patternType="solid">
        <fgColor rgb="00C55A11"/>
      </patternFill>
    </fill>
    <fill>
      <patternFill patternType="solid">
        <fgColor rgb="001F4E78"/>
      </patternFill>
    </fill>
    <fill>
      <patternFill patternType="solid">
        <fgColor rgb="00EAF1F8"/>
      </patternFill>
    </fill>
  </fills>
  <borders count="3">
    <border>
      <left/>
      <right/>
      <top/>
      <bottom/>
      <diagonal/>
    </border>
    <border>
      <left style="thin">
        <color rgb="00BFBFBF"/>
      </left>
      <right style="thin">
        <color rgb="00BFBFBF"/>
      </right>
      <top style="thin">
        <color rgb="00BFBFBF"/>
      </top>
      <bottom style="thin">
        <color rgb="00BFBFBF"/>
      </bottom>
    </border>
    <border>
      <left style="dashed">
        <color rgb="00BFBFBF"/>
      </left>
      <right style="dashed">
        <color rgb="00BFBFBF"/>
      </right>
      <top style="dashed">
        <color rgb="00BFBFBF"/>
      </top>
      <bottom style="dashed">
        <color rgb="00BFBFBF"/>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3" borderId="0" applyAlignment="1" pivotButton="0" quotePrefix="0" xfId="0">
      <alignment horizontal="left" vertical="bottom" indent="1"/>
    </xf>
    <xf numFmtId="0" fontId="0" fillId="3" borderId="0" pivotButton="0" quotePrefix="0" xfId="0"/>
    <xf numFmtId="0" fontId="7" fillId="3" borderId="0" applyAlignment="1" pivotButton="0" quotePrefix="0" xfId="0">
      <alignment horizontal="left" vertical="center" indent="1"/>
    </xf>
    <xf numFmtId="0" fontId="8" fillId="3" borderId="0" applyAlignment="1" pivotButton="0" quotePrefix="0" xfId="0">
      <alignment horizontal="left" vertical="center" wrapText="1" indent="1"/>
    </xf>
    <xf numFmtId="0" fontId="9" fillId="0" borderId="0" pivotButton="0" quotePrefix="0" xfId="0"/>
    <xf numFmtId="0" fontId="10" fillId="3" borderId="0" applyAlignment="1" pivotButton="0" quotePrefix="0" xfId="0">
      <alignment horizontal="center" vertical="center" wrapText="1"/>
    </xf>
    <xf numFmtId="0" fontId="4" fillId="0" borderId="0" pivotButton="0" quotePrefix="0" xfId="0"/>
    <xf numFmtId="0" fontId="11" fillId="5" borderId="1" applyProtection="1" pivotButton="0" quotePrefix="0" xfId="0">
      <protection locked="0" hidden="0"/>
    </xf>
    <xf numFmtId="0" fontId="12" fillId="0" borderId="0" pivotButton="0" quotePrefix="0" xfId="0"/>
    <xf numFmtId="0" fontId="12" fillId="6" borderId="0" applyAlignment="1" pivotButton="0" quotePrefix="0" xfId="0">
      <alignment horizontal="left" vertical="center" indent="1"/>
    </xf>
    <xf numFmtId="3" fontId="7" fillId="3" borderId="0" applyAlignment="1" pivotButton="0" quotePrefix="0" xfId="0">
      <alignment horizontal="left" vertical="center" indent="1"/>
    </xf>
    <xf numFmtId="164" fontId="7" fillId="3" borderId="0" applyAlignment="1" pivotButton="0" quotePrefix="0" xfId="0">
      <alignment horizontal="left" vertical="center" indent="1"/>
    </xf>
    <xf numFmtId="49" fontId="13" fillId="0" borderId="0" pivotButton="0" quotePrefix="0" xfId="0"/>
    <xf numFmtId="3" fontId="14" fillId="0" borderId="0" pivotButton="0" quotePrefix="0" xfId="0"/>
    <xf numFmtId="0" fontId="15" fillId="0" borderId="0" pivotButton="0" quotePrefix="0" xfId="0"/>
    <xf numFmtId="0" fontId="16" fillId="0" borderId="0" pivotButton="0" quotePrefix="0" xfId="0"/>
    <xf numFmtId="3" fontId="16" fillId="0" borderId="0" pivotButton="0" quotePrefix="0" xfId="0"/>
    <xf numFmtId="0" fontId="17" fillId="0" borderId="0" applyAlignment="1" pivotButton="0" quotePrefix="0" xfId="0">
      <alignment vertical="top" wrapText="1"/>
    </xf>
    <xf numFmtId="2" fontId="7" fillId="3" borderId="0" applyAlignment="1" pivotButton="0" quotePrefix="0" xfId="0">
      <alignment horizontal="left" vertical="center" indent="1"/>
    </xf>
    <xf numFmtId="1" fontId="7" fillId="3" borderId="0" applyAlignment="1" pivotButton="0" quotePrefix="0" xfId="0">
      <alignment horizontal="left" vertical="center" indent="1"/>
    </xf>
    <xf numFmtId="0" fontId="18" fillId="7" borderId="1" pivotButton="0" quotePrefix="0" xfId="0"/>
    <xf numFmtId="0" fontId="16" fillId="6" borderId="1" pivotButton="0" quotePrefix="0" xfId="0"/>
    <xf numFmtId="3" fontId="16" fillId="6" borderId="1" pivotButton="0" quotePrefix="0" xfId="0"/>
    <xf numFmtId="0" fontId="12" fillId="6" borderId="2" applyAlignment="1" pivotButton="0" quotePrefix="0" xfId="0">
      <alignment horizontal="center" vertical="center" wrapText="1"/>
    </xf>
    <xf numFmtId="0" fontId="0" fillId="6" borderId="2" pivotButton="0" quotePrefix="0" xfId="0"/>
    <xf numFmtId="0" fontId="19" fillId="0" borderId="0" pivotButton="0" quotePrefix="0" xfId="0"/>
    <xf numFmtId="0" fontId="5" fillId="0" borderId="0" pivotButton="0" quotePrefix="0" xfId="0"/>
    <xf numFmtId="0" fontId="18" fillId="8" borderId="1" applyAlignment="1" pivotButton="0" quotePrefix="0" xfId="0">
      <alignment horizontal="left" vertical="center" wrapText="1"/>
    </xf>
    <xf numFmtId="0" fontId="20" fillId="9" borderId="1" applyProtection="1" pivotButton="0" quotePrefix="0" xfId="0">
      <protection locked="0" hidden="0"/>
    </xf>
    <xf numFmtId="4" fontId="16" fillId="6" borderId="1" pivotButton="0" quotePrefix="0" xfId="0"/>
    <xf numFmtId="164" fontId="16" fillId="6" borderId="1" pivotButton="0" quotePrefix="0" xfId="0"/>
    <xf numFmtId="0" fontId="18" fillId="10" borderId="1" applyAlignment="1" pivotButton="0" quotePrefix="0" xfId="0">
      <alignment horizontal="left" vertical="center" wrapText="1"/>
    </xf>
    <xf numFmtId="0" fontId="21" fillId="5" borderId="1" pivotButton="0" quotePrefix="0" xfId="0"/>
    <xf numFmtId="0" fontId="18" fillId="7" borderId="1" applyAlignment="1" pivotButton="0" quotePrefix="0" xfId="0">
      <alignment horizontal="left" vertical="center" wrapText="1"/>
    </xf>
    <xf numFmtId="0" fontId="18" fillId="10" borderId="1" pivotButton="0" quotePrefix="0" xfId="0"/>
    <xf numFmtId="0" fontId="17" fillId="6" borderId="1" pivotButton="0" quotePrefix="0" xfId="0"/>
    <xf numFmtId="0" fontId="5" fillId="6" borderId="1" pivotButton="0" quotePrefix="0" xfId="0"/>
    <xf numFmtId="0" fontId="22" fillId="5" borderId="1" applyProtection="1" pivotButton="0" quotePrefix="0" xfId="0">
      <protection locked="0" hidden="0"/>
    </xf>
    <xf numFmtId="0" fontId="23" fillId="9" borderId="1" applyProtection="1" pivotButton="0" quotePrefix="0" xfId="0">
      <protection locked="0" hidden="0"/>
    </xf>
    <xf numFmtId="0" fontId="18" fillId="11" borderId="1" applyAlignment="1" pivotButton="0" quotePrefix="0" xfId="0">
      <alignment horizontal="left" vertical="center" wrapText="1"/>
    </xf>
    <xf numFmtId="0" fontId="24" fillId="12" borderId="1" pivotButton="0" quotePrefix="0" xfId="0"/>
    <xf numFmtId="0" fontId="25" fillId="6" borderId="1" pivotButton="0" quotePrefix="0" xfId="0"/>
    <xf numFmtId="0" fontId="26" fillId="0" borderId="0" pivotButton="0" quotePrefix="0" xfId="0"/>
    <xf numFmtId="0" fontId="16" fillId="0" borderId="0" applyAlignment="1" pivotButton="0" quotePrefix="0" xfId="0">
      <alignment wrapText="1"/>
    </xf>
    <xf numFmtId="3" fontId="2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styles" Target="styles.xml" Id="rId56" /><Relationship Type="http://schemas.openxmlformats.org/officeDocument/2006/relationships/theme" Target="theme/theme1.xml" Id="rId57" /></Relationships>
</file>

<file path=xl/charts/chart1.xml><?xml version="1.0" encoding="utf-8"?>
<chartSpace xmlns:a="http://schemas.openxmlformats.org/drawingml/2006/main" xmlns="http://schemas.openxmlformats.org/drawingml/2006/chart">
  <style val="2"/>
  <chart>
    <title>
      <tx>
        <rich>
          <a:bodyPr/>
          <a:p>
            <a:pPr>
              <a:defRPr/>
            </a:pPr>
            <a:r>
              <a:t>Net Sales — Trailing 12 Months</a:t>
            </a:r>
          </a:p>
        </rich>
      </tx>
    </title>
    <plotArea>
      <lineChart>
        <grouping val="standard"/>
        <ser>
          <idx val="0"/>
          <order val="0"/>
          <spPr>
            <a:ln w="20000">
              <a:solidFill>
                <a:srgbClr val="000000"/>
              </a:solidFill>
              <a:prstDash val="solid"/>
            </a:ln>
          </spPr>
          <marker>
            <symbol val="none"/>
            <spPr>
              <a:ln>
                <a:prstDash val="solid"/>
              </a:ln>
            </spPr>
          </marker>
          <cat>
            <numRef>
              <f>'02_Partner_Dashboard'!$C$18:$N$18</f>
            </numRef>
          </cat>
          <val>
            <numRef>
              <f>'02_Partner_Dashboard'!$C$19</f>
            </numRef>
          </val>
          <smooth val="0"/>
        </ser>
        <ser>
          <idx val="1"/>
          <order val="1"/>
          <spPr>
            <a:ln>
              <a:prstDash val="solid"/>
            </a:ln>
          </spPr>
          <marker>
            <symbol val="none"/>
            <spPr>
              <a:ln>
                <a:prstDash val="solid"/>
              </a:ln>
            </spPr>
          </marker>
          <cat>
            <numRef>
              <f>'02_Partner_Dashboard'!$C$18:$N$18</f>
            </numRef>
          </cat>
          <val>
            <numRef>
              <f>'02_Partner_Dashboard'!$D$19</f>
            </numRef>
          </val>
        </ser>
        <ser>
          <idx val="2"/>
          <order val="2"/>
          <spPr>
            <a:ln>
              <a:prstDash val="solid"/>
            </a:ln>
          </spPr>
          <marker>
            <symbol val="none"/>
            <spPr>
              <a:ln>
                <a:prstDash val="solid"/>
              </a:ln>
            </spPr>
          </marker>
          <cat>
            <numRef>
              <f>'02_Partner_Dashboard'!$C$18:$N$18</f>
            </numRef>
          </cat>
          <val>
            <numRef>
              <f>'02_Partner_Dashboard'!$E$19</f>
            </numRef>
          </val>
        </ser>
        <ser>
          <idx val="3"/>
          <order val="3"/>
          <spPr>
            <a:ln>
              <a:prstDash val="solid"/>
            </a:ln>
          </spPr>
          <marker>
            <symbol val="none"/>
            <spPr>
              <a:ln>
                <a:prstDash val="solid"/>
              </a:ln>
            </spPr>
          </marker>
          <cat>
            <numRef>
              <f>'02_Partner_Dashboard'!$C$18:$N$18</f>
            </numRef>
          </cat>
          <val>
            <numRef>
              <f>'02_Partner_Dashboard'!$F$19</f>
            </numRef>
          </val>
        </ser>
        <ser>
          <idx val="4"/>
          <order val="4"/>
          <spPr>
            <a:ln>
              <a:prstDash val="solid"/>
            </a:ln>
          </spPr>
          <marker>
            <symbol val="none"/>
            <spPr>
              <a:ln>
                <a:prstDash val="solid"/>
              </a:ln>
            </spPr>
          </marker>
          <cat>
            <numRef>
              <f>'02_Partner_Dashboard'!$C$18:$N$18</f>
            </numRef>
          </cat>
          <val>
            <numRef>
              <f>'02_Partner_Dashboard'!$G$19</f>
            </numRef>
          </val>
        </ser>
        <ser>
          <idx val="5"/>
          <order val="5"/>
          <spPr>
            <a:ln>
              <a:prstDash val="solid"/>
            </a:ln>
          </spPr>
          <marker>
            <symbol val="none"/>
            <spPr>
              <a:ln>
                <a:prstDash val="solid"/>
              </a:ln>
            </spPr>
          </marker>
          <cat>
            <numRef>
              <f>'02_Partner_Dashboard'!$C$18:$N$18</f>
            </numRef>
          </cat>
          <val>
            <numRef>
              <f>'02_Partner_Dashboard'!$H$19</f>
            </numRef>
          </val>
        </ser>
        <ser>
          <idx val="6"/>
          <order val="6"/>
          <spPr>
            <a:ln>
              <a:prstDash val="solid"/>
            </a:ln>
          </spPr>
          <marker>
            <symbol val="none"/>
            <spPr>
              <a:ln>
                <a:prstDash val="solid"/>
              </a:ln>
            </spPr>
          </marker>
          <cat>
            <numRef>
              <f>'02_Partner_Dashboard'!$C$18:$N$18</f>
            </numRef>
          </cat>
          <val>
            <numRef>
              <f>'02_Partner_Dashboard'!$I$19</f>
            </numRef>
          </val>
        </ser>
        <ser>
          <idx val="7"/>
          <order val="7"/>
          <spPr>
            <a:ln>
              <a:prstDash val="solid"/>
            </a:ln>
          </spPr>
          <marker>
            <symbol val="none"/>
            <spPr>
              <a:ln>
                <a:prstDash val="solid"/>
              </a:ln>
            </spPr>
          </marker>
          <cat>
            <numRef>
              <f>'02_Partner_Dashboard'!$C$18:$N$18</f>
            </numRef>
          </cat>
          <val>
            <numRef>
              <f>'02_Partner_Dashboard'!$J$19</f>
            </numRef>
          </val>
        </ser>
        <ser>
          <idx val="8"/>
          <order val="8"/>
          <spPr>
            <a:ln>
              <a:prstDash val="solid"/>
            </a:ln>
          </spPr>
          <marker>
            <symbol val="none"/>
            <spPr>
              <a:ln>
                <a:prstDash val="solid"/>
              </a:ln>
            </spPr>
          </marker>
          <cat>
            <numRef>
              <f>'02_Partner_Dashboard'!$C$18:$N$18</f>
            </numRef>
          </cat>
          <val>
            <numRef>
              <f>'02_Partner_Dashboard'!$K$19</f>
            </numRef>
          </val>
        </ser>
        <ser>
          <idx val="9"/>
          <order val="9"/>
          <spPr>
            <a:ln>
              <a:prstDash val="solid"/>
            </a:ln>
          </spPr>
          <marker>
            <symbol val="none"/>
            <spPr>
              <a:ln>
                <a:prstDash val="solid"/>
              </a:ln>
            </spPr>
          </marker>
          <cat>
            <numRef>
              <f>'02_Partner_Dashboard'!$C$18:$N$18</f>
            </numRef>
          </cat>
          <val>
            <numRef>
              <f>'02_Partner_Dashboard'!$L$19</f>
            </numRef>
          </val>
        </ser>
        <ser>
          <idx val="10"/>
          <order val="10"/>
          <spPr>
            <a:ln>
              <a:prstDash val="solid"/>
            </a:ln>
          </spPr>
          <marker>
            <symbol val="none"/>
            <spPr>
              <a:ln>
                <a:prstDash val="solid"/>
              </a:ln>
            </spPr>
          </marker>
          <cat>
            <numRef>
              <f>'02_Partner_Dashboard'!$C$18:$N$18</f>
            </numRef>
          </cat>
          <val>
            <numRef>
              <f>'02_Partner_Dashboard'!$M$19</f>
            </numRef>
          </val>
        </ser>
        <ser>
          <idx val="11"/>
          <order val="11"/>
          <spPr>
            <a:ln>
              <a:prstDash val="solid"/>
            </a:ln>
          </spPr>
          <marker>
            <symbol val="none"/>
            <spPr>
              <a:ln>
                <a:prstDash val="solid"/>
              </a:ln>
            </spPr>
          </marker>
          <cat>
            <numRef>
              <f>'02_Partner_Dashboard'!$C$18:$N$18</f>
            </numRef>
          </cat>
          <val>
            <numRef>
              <f>'02_Partner_Dashboard'!$N$19</f>
            </numRef>
          </val>
        </ser>
        <axId val="10"/>
        <axId val="1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612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ProductCostMaster" displayName="tbl_ProductCostMaster" ref="B44:S45" headerRowCount="1">
  <autoFilter ref="B44:S45"/>
  <tableColumns count="18">
    <tableColumn id="2" name="Cost ID"/>
    <tableColumn id="3" name="SKU"/>
    <tableColumn id="4" name="Product Name"/>
    <tableColumn id="5" name="Variant"/>
    <tableColumn id="6" name="Collection"/>
    <tableColumn id="7" name="Fabric Cost"/>
    <tableColumn id="8" name="Accessories Cost"/>
    <tableColumn id="9" name="Manufacturing Cost"/>
    <tableColumn id="10" name="Packaging Cost"/>
    <tableColumn id="11" name="Shipping Cost"/>
    <tableColumn id="12" name="Other Cost"/>
    <tableColumn id="13" name="Total Landed Cost"/>
    <tableColumn id="14" name="Selling Price"/>
    <tableColumn id="15" name="Expected Gross Margin %"/>
    <tableColumn id="16" name="Effective From Date"/>
    <tableColumn id="17" name="Effective To Date"/>
    <tableColumn id="18" name="Active Flag"/>
    <tableColumn id="19" name="Overlap Warning"/>
  </tableColumns>
  <tableStyleInfo name="TableStyleLight1" showFirstColumn="0" showLastColumn="0" showRowStripes="0" showColumnStripes="0"/>
</table>
</file>

<file path=xl/tables/table2.xml><?xml version="1.0" encoding="utf-8"?>
<table xmlns="http://schemas.openxmlformats.org/spreadsheetml/2006/main" id="2" name="tbl_Budget" displayName="tbl_Budget" ref="B44:G45" headerRowCount="1">
  <autoFilter ref="B44:G45"/>
  <tableColumns count="6">
    <tableColumn id="2" name="Budget ID"/>
    <tableColumn id="3" name="Year"/>
    <tableColumn id="4" name="Month"/>
    <tableColumn id="5" name="Category"/>
    <tableColumn id="6" name="Budget Amount"/>
    <tableColumn id="7" name="Notes"/>
  </tableColumns>
  <tableStyleInfo name="TableStyleLight1" showFirstColumn="0" showLastColumn="0" showRowStripes="0" showColumnStripes="0"/>
</table>
</file>

<file path=xl/tables/table3.xml><?xml version="1.0" encoding="utf-8"?>
<table xmlns="http://schemas.openxmlformats.org/spreadsheetml/2006/main" id="3" name="tbl_ManualExpenses" displayName="tbl_ManualExpenses" ref="B17:R18" headerRowCount="1">
  <autoFilter ref="B17:R18"/>
  <tableColumns count="17">
    <tableColumn id="2" name="Expense ID"/>
    <tableColumn id="3" name="Expense Date"/>
    <tableColumn id="4" name="Expense Category"/>
    <tableColumn id="5" name="Expense Subcategory"/>
    <tableColumn id="6" name="Supplier"/>
    <tableColumn id="7" name="Amount"/>
    <tableColumn id="8" name="Currency"/>
    <tableColumn id="9" name="Payment Method"/>
    <tableColumn id="10" name="Related Collection"/>
    <tableColumn id="11" name="Related SKU"/>
    <tableColumn id="12" name="Cost Center"/>
    <tableColumn id="13" name="Notes"/>
    <tableColumn id="14" name="Invoice Number"/>
    <tableColumn id="15" name="File Name"/>
    <tableColumn id="16" name="File Path"/>
    <tableColumn id="17" name="Cloud Link"/>
    <tableColumn id="18" name="Possible Duplicate"/>
  </tableColumns>
  <tableStyleInfo name="TableStyleLight1" showFirstColumn="0" showLastColumn="0" showRowStripes="0" showColumnStripes="0"/>
</table>
</file>

<file path=xl/tables/table4.xml><?xml version="1.0" encoding="utf-8"?>
<table xmlns="http://schemas.openxmlformats.org/spreadsheetml/2006/main" id="4" name="tbl_CapitalTransactions" displayName="tbl_CapitalTransactions" ref="B17:I18" headerRowCount="1">
  <autoFilter ref="B17:I18"/>
  <tableColumns count="8">
    <tableColumn id="2" name="Capital ID"/>
    <tableColumn id="3" name="Date"/>
    <tableColumn id="4" name="Owner"/>
    <tableColumn id="5" name="Transaction Type"/>
    <tableColumn id="6" name="Amount"/>
    <tableColumn id="7" name="Notes"/>
    <tableColumn id="8" name="Entered By"/>
    <tableColumn id="9" name="Possible Duplicate"/>
  </tableColumns>
  <tableStyleInfo name="TableStyleLight1" showFirstColumn="0" showLastColumn="0" showRowStripes="0" showColumnStripes="0"/>
</table>
</file>

<file path=xl/tables/table5.xml><?xml version="1.0" encoding="utf-8"?>
<table xmlns="http://schemas.openxmlformats.org/spreadsheetml/2006/main" id="5" name="tbl_SupplierMaster" displayName="tbl_SupplierMaster" ref="B17:K18" headerRowCount="1">
  <autoFilter ref="B17:K18"/>
  <tableColumns count="10">
    <tableColumn id="2" name="Supplier ID"/>
    <tableColumn id="3" name="Supplier Name"/>
    <tableColumn id="4" name="Supplier Type"/>
    <tableColumn id="5" name="Contact Person"/>
    <tableColumn id="6" name="Phone"/>
    <tableColumn id="7" name="Email"/>
    <tableColumn id="8" name="Currency"/>
    <tableColumn id="9" name="Payment Terms"/>
    <tableColumn id="10" name="Status"/>
    <tableColumn id="11" name="Notes"/>
  </tableColumns>
  <tableStyleInfo name="TableStyleLight1" showFirstColumn="0" showLastColumn="0" showRowStripes="0" showColumnStripes="0"/>
</table>
</file>

<file path=xl/tables/table6.xml><?xml version="1.0" encoding="utf-8"?>
<table xmlns="http://schemas.openxmlformats.org/spreadsheetml/2006/main" id="6" name="tbl_POHeader" displayName="tbl_POHeader" ref="B22:H23" headerRowCount="1">
  <autoFilter ref="B22:H23"/>
  <tableColumns count="7">
    <tableColumn id="2" name="PO Number"/>
    <tableColumn id="3" name="Supplier"/>
    <tableColumn id="4" name="Order Date"/>
    <tableColumn id="5" name="Expected Delivery Date"/>
    <tableColumn id="6" name="Status"/>
    <tableColumn id="7" name="Currency"/>
    <tableColumn id="8" name="Notes"/>
  </tableColumns>
  <tableStyleInfo name="TableStyleLight1" showFirstColumn="0" showLastColumn="0" showRowStripes="0" showColumnStripes="0"/>
</table>
</file>

<file path=xl/tables/table7.xml><?xml version="1.0" encoding="utf-8"?>
<table xmlns="http://schemas.openxmlformats.org/spreadsheetml/2006/main" id="7" name="tbl_POLines" displayName="tbl_POLines" ref="B27:F28" headerRowCount="1">
  <autoFilter ref="B27:F28"/>
  <tableColumns count="5">
    <tableColumn id="2" name="PO Number"/>
    <tableColumn id="3" name="SKU"/>
    <tableColumn id="4" name="Quantity Ordered"/>
    <tableColumn id="5" name="Unit Cost"/>
    <tableColumn id="6" name="Total Cost"/>
  </tableColumns>
  <tableStyleInfo name="TableStyleLight1" showFirstColumn="0" showLastColumn="0" showRowStripes="0" showColumnStripes="0"/>
</table>
</file>

<file path=xl/tables/table8.xml><?xml version="1.0" encoding="utf-8"?>
<table xmlns="http://schemas.openxmlformats.org/spreadsheetml/2006/main" id="8" name="tbl_GoodsReceipt" displayName="tbl_GoodsReceipt" ref="B32:J33" headerRowCount="1">
  <autoFilter ref="B32:J33"/>
  <tableColumns count="9">
    <tableColumn id="2" name="PO Number"/>
    <tableColumn id="3" name="SKU"/>
    <tableColumn id="4" name="Goods Received Date"/>
    <tableColumn id="5" name="Quantity Received"/>
    <tableColumn id="6" name="Remaining Quantity"/>
    <tableColumn id="7" name="Actual Unit Cost"/>
    <tableColumn id="8" name="Variance from PO"/>
    <tableColumn id="9" name="Warehouse"/>
    <tableColumn id="10" name="Receiver"/>
  </tableColumns>
  <tableStyleInfo name="TableStyleLight1" showFirstColumn="0" showLastColumn="0" showRowStripes="0" showColumnStripes="0"/>
</table>
</file>

<file path=xl/tables/table9.xml><?xml version="1.0" encoding="utf-8"?>
<table xmlns="http://schemas.openxmlformats.org/spreadsheetml/2006/main" id="9" name="tbl_ValidationRules" displayName="tbl_ValidationRules" ref="B17:E18" headerRowCount="1">
  <autoFilter ref="B17:E18"/>
  <tableColumns count="4">
    <tableColumn id="2" name="Rule ID"/>
    <tableColumn id="3" name="Check Name"/>
    <tableColumn id="4" name="Applies To"/>
    <tableColumn id="5" name="Threshold"/>
  </tableColumns>
  <tableStyleInfo name="TableStyleLight1" showFirstColumn="0" showLastColumn="0" showRowStripes="0" showColumnStripes="0"/>
</table>
</file>

<file path=xl/tables/table10.xml><?xml version="1.0" encoding="utf-8"?>
<table xmlns="http://schemas.openxmlformats.org/spreadsheetml/2006/main" id="10" name="tbl_RefreshStatusSummary" displayName="tbl_RefreshStatusSummary" ref="B22:E23" headerRowCount="1">
  <autoFilter ref="B22:E23"/>
  <tableColumns count="4">
    <tableColumn id="2" name="Table"/>
    <tableColumn id="3" name="Last Refreshed"/>
    <tableColumn id="4" name="Row Count"/>
    <tableColumn id="5" name="Status"/>
  </tableColumns>
  <tableStyleInfo name="TableStyleLight1" showFirstColumn="0" showLastColumn="0" showRowStripes="0" showColumnStripes="0"/>
</table>
</file>

<file path=xl/tables/table11.xml><?xml version="1.0" encoding="utf-8"?>
<table xmlns="http://schemas.openxmlformats.org/spreadsheetml/2006/main" id="11" name="tbl_ChartOfAccounts" displayName="tbl_ChartOfAccounts" ref="B31:F32" headerRowCount="1">
  <autoFilter ref="B31:F32"/>
  <tableColumns count="5">
    <tableColumn id="2" name="Account Code"/>
    <tableColumn id="3" name="Account Name"/>
    <tableColumn id="4" name="Statement"/>
    <tableColumn id="5" name="P&amp;L / BS Line"/>
    <tableColumn id="6" name="Source"/>
  </tableColumns>
  <tableStyleInfo name="TableStyleLight1" showFirstColumn="0" showLastColumn="0" showRowStripes="0" showColumnStripes="0"/>
</table>
</file>

<file path=xl/tables/table12.xml><?xml version="1.0" encoding="utf-8"?>
<table xmlns="http://schemas.openxmlformats.org/spreadsheetml/2006/main" id="12" name="tbl_VersionLog" displayName="tbl_VersionLog" ref="B36:E42" headerRowCount="1">
  <autoFilter ref="B36:E42"/>
  <tableColumns count="4">
    <tableColumn id="2" name="Version"/>
    <tableColumn id="3" name="Date"/>
    <tableColumn id="4" name="Phase"/>
    <tableColumn id="5" name="Summary"/>
  </tableColumns>
  <tableStyleInfo name="TableStyleLight1" showFirstColumn="0" showLastColumn="0" showRowStripes="0" showColumnStripes="0"/>
</table>
</file>

<file path=xl/tables/table13.xml><?xml version="1.0" encoding="utf-8"?>
<table xmlns="http://schemas.openxmlformats.org/spreadsheetml/2006/main" id="13" name="tbl_LookupExpenseCategory" displayName="tbl_LookupExpenseCategory" ref="B46:B56" headerRowCount="1">
  <autoFilter ref="B46:B56"/>
  <tableColumns count="1">
    <tableColumn id="2" name="Expense Category"/>
  </tableColumns>
  <tableStyleInfo name="TableStyleLight1" showFirstColumn="0" showLastColumn="0" showRowStripes="0" showColumnStripes="0"/>
</table>
</file>

<file path=xl/tables/table14.xml><?xml version="1.0" encoding="utf-8"?>
<table xmlns="http://schemas.openxmlformats.org/spreadsheetml/2006/main" id="14" name="tbl_LookupExpenseSubcategory" displayName="tbl_LookupExpenseSubcategory" ref="B58:B70" headerRowCount="1">
  <autoFilter ref="B58:B70"/>
  <tableColumns count="1">
    <tableColumn id="2" name="Expense Subcategory"/>
  </tableColumns>
  <tableStyleInfo name="TableStyleLight1" showFirstColumn="0" showLastColumn="0" showRowStripes="0" showColumnStripes="0"/>
</table>
</file>

<file path=xl/tables/table15.xml><?xml version="1.0" encoding="utf-8"?>
<table xmlns="http://schemas.openxmlformats.org/spreadsheetml/2006/main" id="15" name="tbl_LookupCostCenter" displayName="tbl_LookupCostCenter" ref="B72:B77" headerRowCount="1">
  <autoFilter ref="B72:B77"/>
  <tableColumns count="1">
    <tableColumn id="2" name="Cost Center"/>
  </tableColumns>
  <tableStyleInfo name="TableStyleLight1" showFirstColumn="0" showLastColumn="0" showRowStripes="0" showColumnStripes="0"/>
</table>
</file>

<file path=xl/tables/table16.xml><?xml version="1.0" encoding="utf-8"?>
<table xmlns="http://schemas.openxmlformats.org/spreadsheetml/2006/main" id="16" name="tbl_LookupPaymentMethod" displayName="tbl_LookupPaymentMethod" ref="B79:B85" headerRowCount="1">
  <autoFilter ref="B79:B85"/>
  <tableColumns count="1">
    <tableColumn id="2" name="Payment Method"/>
  </tableColumns>
  <tableStyleInfo name="TableStyleLight1" showFirstColumn="0" showLastColumn="0" showRowStripes="0" showColumnStripes="0"/>
</table>
</file>

<file path=xl/tables/table17.xml><?xml version="1.0" encoding="utf-8"?>
<table xmlns="http://schemas.openxmlformats.org/spreadsheetml/2006/main" id="17" name="tbl_LookupCurrency" displayName="tbl_LookupCurrency" ref="B87:B91" headerRowCount="1">
  <autoFilter ref="B87:B91"/>
  <tableColumns count="1">
    <tableColumn id="2" name="Currency"/>
  </tableColumns>
  <tableStyleInfo name="TableStyleLight1" showFirstColumn="0" showLastColumn="0" showRowStripes="0" showColumnStripes="0"/>
</table>
</file>

<file path=xl/tables/table18.xml><?xml version="1.0" encoding="utf-8"?>
<table xmlns="http://schemas.openxmlformats.org/spreadsheetml/2006/main" id="18" name="tbl_LookupSupplierType" displayName="tbl_LookupSupplierType" ref="B93:B101" headerRowCount="1">
  <autoFilter ref="B93:B101"/>
  <tableColumns count="1">
    <tableColumn id="2" name="Supplier Type"/>
  </tableColumns>
  <tableStyleInfo name="TableStyleLight1" showFirstColumn="0" showLastColumn="0" showRowStripes="0" showColumnStripes="0"/>
</table>
</file>

<file path=xl/tables/table19.xml><?xml version="1.0" encoding="utf-8"?>
<table xmlns="http://schemas.openxmlformats.org/spreadsheetml/2006/main" id="19" name="tbl_LookupSupplierStatus" displayName="tbl_LookupSupplierStatus" ref="B103:B106" headerRowCount="1">
  <autoFilter ref="B103:B106"/>
  <tableColumns count="1">
    <tableColumn id="2" name="Supplier Status"/>
  </tableColumns>
  <tableStyleInfo name="TableStyleLight1" showFirstColumn="0" showLastColumn="0" showRowStripes="0" showColumnStripes="0"/>
</table>
</file>

<file path=xl/tables/table20.xml><?xml version="1.0" encoding="utf-8"?>
<table xmlns="http://schemas.openxmlformats.org/spreadsheetml/2006/main" id="20" name="tbl_LookupCapitalTransactionType" displayName="tbl_LookupCapitalTransactionType" ref="B108:B110" headerRowCount="1">
  <autoFilter ref="B108:B110"/>
  <tableColumns count="1">
    <tableColumn id="2" name="Capital Transaction Type"/>
  </tableColumns>
  <tableStyleInfo name="TableStyleLight1" showFirstColumn="0" showLastColumn="0" showRowStripes="0" showColumnStripes="0"/>
</table>
</file>

<file path=xl/tables/table21.xml><?xml version="1.0" encoding="utf-8"?>
<table xmlns="http://schemas.openxmlformats.org/spreadsheetml/2006/main" id="21" name="tbl_LookupPOStatus" displayName="tbl_LookupPOStatus" ref="B112:B119" headerRowCount="1">
  <autoFilter ref="B112:B119"/>
  <tableColumns count="1">
    <tableColumn id="2" name="PO Status"/>
  </tableColumns>
  <tableStyleInfo name="TableStyleLight1" showFirstColumn="0" showLastColumn="0" showRowStripes="0" showColumnStripes="0"/>
</table>
</file>

<file path=xl/tables/table22.xml><?xml version="1.0" encoding="utf-8"?>
<table xmlns="http://schemas.openxmlformats.org/spreadsheetml/2006/main" id="22" name="tbl_LookupWarehouse" displayName="tbl_LookupWarehouse" ref="B121:B124" headerRowCount="1">
  <autoFilter ref="B121:B124"/>
  <tableColumns count="1">
    <tableColumn id="2" name="Warehouse"/>
  </tableColumns>
  <tableStyleInfo name="TableStyleLight1" showFirstColumn="0" showLastColumn="0" showRowStripes="0" showColumnStripes="0"/>
</table>
</file>

<file path=xl/tables/table23.xml><?xml version="1.0" encoding="utf-8"?>
<table xmlns="http://schemas.openxmlformats.org/spreadsheetml/2006/main" id="23" name="tbl_LookupOwner" displayName="tbl_LookupOwner" ref="B126:B127" headerRowCount="1">
  <autoFilter ref="B126:B127"/>
  <tableColumns count="1">
    <tableColumn id="2" name="Owner"/>
  </tableColumns>
  <tableStyleInfo name="TableStyleLight1" showFirstColumn="0" showLastColumn="0" showRowStripes="0" showColumnStripes="0"/>
</table>
</file>

<file path=xl/tables/table24.xml><?xml version="1.0" encoding="utf-8"?>
<table xmlns="http://schemas.openxmlformats.org/spreadsheetml/2006/main" id="24" name="tbl_LookupBudgetPeriod" displayName="tbl_LookupBudgetPeriod" ref="B129:B131" headerRowCount="1">
  <autoFilter ref="B129:B131"/>
  <tableColumns count="1">
    <tableColumn id="2" name="Budget Period"/>
  </tableColumns>
  <tableStyleInfo name="TableStyleLight1" showFirstColumn="0" showLastColumn="0" showRowStripes="0" showColumnStripes="0"/>
</table>
</file>

<file path=xl/tables/table25.xml><?xml version="1.0" encoding="utf-8"?>
<table xmlns="http://schemas.openxmlformats.org/spreadsheetml/2006/main" id="25" name="tbl_LookupBudgetCategory" displayName="tbl_LookupBudgetCategory" ref="B133:B138" headerRowCount="1">
  <autoFilter ref="B133:B138"/>
  <tableColumns count="1">
    <tableColumn id="2" name="Budget Category"/>
  </tableColumns>
  <tableStyleInfo name="TableStyleLight1" showFirstColumn="0" showLastColumn="0" showRowStripes="0" showColumnStripes="0"/>
</table>
</file>

<file path=xl/tables/table26.xml><?xml version="1.0" encoding="utf-8"?>
<table xmlns="http://schemas.openxmlformats.org/spreadsheetml/2006/main" id="26" name="tbl_LookupAlertSeverity" displayName="tbl_LookupAlertSeverity" ref="B140:B143" headerRowCount="1">
  <autoFilter ref="B140:B143"/>
  <tableColumns count="1">
    <tableColumn id="2" name="Alert Severity"/>
  </tableColumns>
  <tableStyleInfo name="TableStyleLight1" showFirstColumn="0" showLastColumn="0" showRowStripes="0" showColumnStripes="0"/>
</table>
</file>

<file path=xl/tables/table27.xml><?xml version="1.0" encoding="utf-8"?>
<table xmlns="http://schemas.openxmlformats.org/spreadsheetml/2006/main" id="27" name="tbl_KPITargets" displayName="tbl_KPITargets" ref="B147:F157" headerRowCount="1">
  <autoFilter ref="B147:F157"/>
  <tableColumns count="5">
    <tableColumn id="2" name="KPI Name"/>
    <tableColumn id="3" name="Target Value"/>
    <tableColumn id="4" name="Unit"/>
    <tableColumn id="5" name="Period"/>
    <tableColumn id="6" name="Notes"/>
  </tableColumns>
  <tableStyleInfo name="TableStyleLight1" showFirstColumn="0" showLastColumn="0" showRowStripes="0" showColumnStripes="0"/>
</table>
</file>

<file path=xl/tables/table28.xml><?xml version="1.0" encoding="utf-8"?>
<table xmlns="http://schemas.openxmlformats.org/spreadsheetml/2006/main" id="28" name="tbl_RAW_Orders" displayName="tbl_RAW_Orders" ref="B11:N12" headerRowCount="1">
  <autoFilter ref="B11:N12"/>
  <tableColumns count="13">
    <tableColumn id="2" name="OrderID"/>
    <tableColumn id="3" name="OrderNumber"/>
    <tableColumn id="4" name="CreatedAt"/>
    <tableColumn id="5" name="UpdatedAt"/>
    <tableColumn id="6" name="FinancialStatus"/>
    <tableColumn id="7" name="FulfillmentStatus"/>
    <tableColumn id="8" name="Currency"/>
    <tableColumn id="9" name="TotalPrice"/>
    <tableColumn id="10" name="SubtotalPrice"/>
    <tableColumn id="11" name="TotalDiscounts"/>
    <tableColumn id="12" name="TotalTax"/>
    <tableColumn id="13" name="CustomerID"/>
    <tableColumn id="14" name="LocationID"/>
  </tableColumns>
  <tableStyleInfo name="TableStyleLight1" showFirstColumn="0" showLastColumn="0" showRowStripes="0" showColumnStripes="0"/>
</table>
</file>

<file path=xl/tables/table29.xml><?xml version="1.0" encoding="utf-8"?>
<table xmlns="http://schemas.openxmlformats.org/spreadsheetml/2006/main" id="29" name="tbl_RAW_OrderLines" displayName="tbl_RAW_OrderLines" ref="B11:K12" headerRowCount="1">
  <autoFilter ref="B11:K12"/>
  <tableColumns count="10">
    <tableColumn id="2" name="LineItemID"/>
    <tableColumn id="3" name="OrderID"/>
    <tableColumn id="4" name="ProductID"/>
    <tableColumn id="5" name="VariantID"/>
    <tableColumn id="6" name="SKU"/>
    <tableColumn id="7" name="Title"/>
    <tableColumn id="8" name="Quantity"/>
    <tableColumn id="9" name="UnitPrice"/>
    <tableColumn id="10" name="DiscountAllocated"/>
    <tableColumn id="11" name="TaxAllocated"/>
  </tableColumns>
  <tableStyleInfo name="TableStyleLight1" showFirstColumn="0" showLastColumn="0" showRowStripes="0" showColumnStripes="0"/>
</table>
</file>

<file path=xl/tables/table30.xml><?xml version="1.0" encoding="utf-8"?>
<table xmlns="http://schemas.openxmlformats.org/spreadsheetml/2006/main" id="30" name="tbl_RAW_Transactions" displayName="tbl_RAW_Transactions" ref="B11:K12" headerRowCount="1">
  <autoFilter ref="B11:K12"/>
  <tableColumns count="10">
    <tableColumn id="2" name="TransactionID"/>
    <tableColumn id="3" name="OrderID"/>
    <tableColumn id="4" name="Kind"/>
    <tableColumn id="5" name="Status"/>
    <tableColumn id="6" name="Gateway"/>
    <tableColumn id="7" name="AmountShop"/>
    <tableColumn id="8" name="CurrencyShop"/>
    <tableColumn id="9" name="CreatedAt"/>
    <tableColumn id="10" name="ProcessedAt"/>
    <tableColumn id="11" name="Test"/>
  </tableColumns>
  <tableStyleInfo name="TableStyleLight1" showFirstColumn="0" showLastColumn="0" showRowStripes="0" showColumnStripes="0"/>
</table>
</file>

<file path=xl/tables/table31.xml><?xml version="1.0" encoding="utf-8"?>
<table xmlns="http://schemas.openxmlformats.org/spreadsheetml/2006/main" id="31" name="tbl_RAW_Refunds" displayName="tbl_RAW_Refunds" ref="B11:K12" headerRowCount="1">
  <autoFilter ref="B11:K12"/>
  <tableColumns count="10">
    <tableColumn id="2" name="RefundLineItemID"/>
    <tableColumn id="3" name="RefundID"/>
    <tableColumn id="4" name="OrderID"/>
    <tableColumn id="5" name="LineItemID"/>
    <tableColumn id="6" name="Quantity"/>
    <tableColumn id="7" name="SubtotalAmount"/>
    <tableColumn id="8" name="TaxAmount"/>
    <tableColumn id="9" name="RefundCreatedAt"/>
    <tableColumn id="10" name="RefundProcessedAt"/>
    <tableColumn id="11" name="Note"/>
  </tableColumns>
  <tableStyleInfo name="TableStyleLight1" showFirstColumn="0" showLastColumn="0" showRowStripes="0" showColumnStripes="0"/>
</table>
</file>

<file path=xl/tables/table32.xml><?xml version="1.0" encoding="utf-8"?>
<table xmlns="http://schemas.openxmlformats.org/spreadsheetml/2006/main" id="32" name="tbl_RAW_Products" displayName="tbl_RAW_Products" ref="B11:I12" headerRowCount="1">
  <autoFilter ref="B11:I12"/>
  <tableColumns count="8">
    <tableColumn id="2" name="ProductID"/>
    <tableColumn id="3" name="Title"/>
    <tableColumn id="4" name="ProductType"/>
    <tableColumn id="5" name="Vendor"/>
    <tableColumn id="6" name="CollectionIDs"/>
    <tableColumn id="7" name="CreatedAt"/>
    <tableColumn id="8" name="UpdatedAt"/>
    <tableColumn id="9" name="Status"/>
  </tableColumns>
  <tableStyleInfo name="TableStyleLight1" showFirstColumn="0" showLastColumn="0" showRowStripes="0" showColumnStripes="0"/>
</table>
</file>

<file path=xl/tables/table33.xml><?xml version="1.0" encoding="utf-8"?>
<table xmlns="http://schemas.openxmlformats.org/spreadsheetml/2006/main" id="33" name="tbl_RAW_Variants" displayName="tbl_RAW_Variants" ref="B11:K12" headerRowCount="1">
  <autoFilter ref="B11:K12"/>
  <tableColumns count="10">
    <tableColumn id="2" name="VariantID"/>
    <tableColumn id="3" name="ProductID"/>
    <tableColumn id="4" name="SKU"/>
    <tableColumn id="5" name="Title"/>
    <tableColumn id="6" name="Price"/>
    <tableColumn id="7" name="CompareAtPrice"/>
    <tableColumn id="8" name="InventoryItemID"/>
    <tableColumn id="9" name="UnitCost"/>
    <tableColumn id="10" name="CreatedAt"/>
    <tableColumn id="11" name="UpdatedAt"/>
  </tableColumns>
  <tableStyleInfo name="TableStyleLight1" showFirstColumn="0" showLastColumn="0" showRowStripes="0" showColumnStripes="0"/>
</table>
</file>

<file path=xl/tables/table34.xml><?xml version="1.0" encoding="utf-8"?>
<table xmlns="http://schemas.openxmlformats.org/spreadsheetml/2006/main" id="34" name="tbl_RAW_InventoryLevels" displayName="tbl_RAW_InventoryLevels" ref="B11:F12" headerRowCount="1">
  <autoFilter ref="B11:F12"/>
  <tableColumns count="5">
    <tableColumn id="2" name="InventoryItemID"/>
    <tableColumn id="3" name="SKU"/>
    <tableColumn id="4" name="LocationID"/>
    <tableColumn id="5" name="Available"/>
    <tableColumn id="6" name="UpdatedAt"/>
  </tableColumns>
  <tableStyleInfo name="TableStyleLight1" showFirstColumn="0" showLastColumn="0" showRowStripes="0" showColumnStripes="0"/>
</table>
</file>

<file path=xl/tables/table35.xml><?xml version="1.0" encoding="utf-8"?>
<table xmlns="http://schemas.openxmlformats.org/spreadsheetml/2006/main" id="35" name="tbl_RAW_Customers" displayName="tbl_RAW_Customers" ref="B11:J12" headerRowCount="1">
  <autoFilter ref="B11:J12"/>
  <tableColumns count="9">
    <tableColumn id="2" name="CustomerID"/>
    <tableColumn id="3" name="FirstName"/>
    <tableColumn id="4" name="LastName"/>
    <tableColumn id="5" name="Email"/>
    <tableColumn id="6" name="CreatedAt"/>
    <tableColumn id="7" name="UpdatedAt"/>
    <tableColumn id="8" name="OrdersCount"/>
    <tableColumn id="9" name="TotalSpent"/>
    <tableColumn id="10" name="DefaultAddressCountry"/>
  </tableColumns>
  <tableStyleInfo name="TableStyleLight1" showFirstColumn="0" showLastColumn="0" showRowStripes="0" showColumnStripes="0"/>
</table>
</file>

<file path=xl/tables/table36.xml><?xml version="1.0" encoding="utf-8"?>
<table xmlns="http://schemas.openxmlformats.org/spreadsheetml/2006/main" id="36" name="tbl_RAW_Collections" displayName="tbl_RAW_Collections" ref="B11:D12" headerRowCount="1">
  <autoFilter ref="B11:D12"/>
  <tableColumns count="3">
    <tableColumn id="2" name="CollectionID"/>
    <tableColumn id="3" name="Title"/>
    <tableColumn id="4" name="Handle"/>
  </tableColumns>
  <tableStyleInfo name="TableStyleLight1" showFirstColumn="0" showLastColumn="0" showRowStripes="0" showColumnStripes="0"/>
</table>
</file>

<file path=xl/tables/table37.xml><?xml version="1.0" encoding="utf-8"?>
<table xmlns="http://schemas.openxmlformats.org/spreadsheetml/2006/main" id="37" name="tbl_RAW_Discounts" displayName="tbl_RAW_Discounts" ref="B11:M12" headerRowCount="1">
  <autoFilter ref="B11:M12"/>
  <tableColumns count="12">
    <tableColumn id="2" name="DiscountNodeID"/>
    <tableColumn id="3" name="Typename"/>
    <tableColumn id="4" name="Title"/>
    <tableColumn id="5" name="Status"/>
    <tableColumn id="6" name="Summary"/>
    <tableColumn id="7" name="Code"/>
    <tableColumn id="8" name="StartsAt"/>
    <tableColumn id="9" name="EndsAt"/>
    <tableColumn id="10" name="UsageLimit"/>
    <tableColumn id="11" name="AsyncUsageCount"/>
    <tableColumn id="12" name="CreatedAt"/>
    <tableColumn id="13" name="UpdatedAt"/>
  </tableColumns>
  <tableStyleInfo name="TableStyleLight1" showFirstColumn="0" showLastColumn="0" showRowStripes="0" showColumnStripes="0"/>
</table>
</file>

<file path=xl/tables/table38.xml><?xml version="1.0" encoding="utf-8"?>
<table xmlns="http://schemas.openxmlformats.org/spreadsheetml/2006/main" id="38" name="tbl_DIM_Date" displayName="tbl_DIM_Date" ref="B11:L12" headerRowCount="1">
  <autoFilter ref="B11:L12"/>
  <tableColumns count="11">
    <tableColumn id="2" name="DateKey"/>
    <tableColumn id="3" name="Date"/>
    <tableColumn id="4" name="Year"/>
    <tableColumn id="5" name="FiscalYear"/>
    <tableColumn id="6" name="Quarter"/>
    <tableColumn id="7" name="Month"/>
    <tableColumn id="8" name="MonthName"/>
    <tableColumn id="9" name="Week"/>
    <tableColumn id="10" name="Day"/>
    <tableColumn id="11" name="DayName"/>
    <tableColumn id="12" name="IsWeekend"/>
  </tableColumns>
  <tableStyleInfo name="TableStyleLight1" showFirstColumn="0" showLastColumn="0" showRowStripes="0" showColumnStripes="0"/>
</table>
</file>

<file path=xl/tables/table39.xml><?xml version="1.0" encoding="utf-8"?>
<table xmlns="http://schemas.openxmlformats.org/spreadsheetml/2006/main" id="39" name="tbl_DIM_Product" displayName="tbl_DIM_Product" ref="B11:J12" headerRowCount="1">
  <autoFilter ref="B11:J12"/>
  <tableColumns count="9">
    <tableColumn id="2" name="ProductKey"/>
    <tableColumn id="3" name="ProductID"/>
    <tableColumn id="4" name="SKU"/>
    <tableColumn id="5" name="Title"/>
    <tableColumn id="6" name="ProductType"/>
    <tableColumn id="7" name="Vendor"/>
    <tableColumn id="8" name="Collection"/>
    <tableColumn id="9" name="UnitCost"/>
    <tableColumn id="10" name="Status"/>
  </tableColumns>
  <tableStyleInfo name="TableStyleLight1" showFirstColumn="0" showLastColumn="0" showRowStripes="0" showColumnStripes="0"/>
</table>
</file>

<file path=xl/tables/table40.xml><?xml version="1.0" encoding="utf-8"?>
<table xmlns="http://schemas.openxmlformats.org/spreadsheetml/2006/main" id="40" name="tbl_DIM_Customer" displayName="tbl_DIM_Customer" ref="B11:H12" headerRowCount="1">
  <autoFilter ref="B11:H12"/>
  <tableColumns count="7">
    <tableColumn id="2" name="CustomerKey"/>
    <tableColumn id="3" name="CustomerID"/>
    <tableColumn id="4" name="Name"/>
    <tableColumn id="5" name="Email"/>
    <tableColumn id="6" name="Country"/>
    <tableColumn id="7" name="FirstOrderDate"/>
    <tableColumn id="8" name="CustomerSegment"/>
  </tableColumns>
  <tableStyleInfo name="TableStyleLight1" showFirstColumn="0" showLastColumn="0" showRowStripes="0" showColumnStripes="0"/>
</table>
</file>

<file path=xl/tables/table41.xml><?xml version="1.0" encoding="utf-8"?>
<table xmlns="http://schemas.openxmlformats.org/spreadsheetml/2006/main" id="41" name="tbl_DIM_Location" displayName="tbl_DIM_Location" ref="B11:F12" headerRowCount="1">
  <autoFilter ref="B11:F12"/>
  <tableColumns count="5">
    <tableColumn id="2" name="LocationKey"/>
    <tableColumn id="3" name="LocationID"/>
    <tableColumn id="4" name="LocationName"/>
    <tableColumn id="5" name="City"/>
    <tableColumn id="6" name="Country"/>
  </tableColumns>
  <tableStyleInfo name="TableStyleLight1" showFirstColumn="0" showLastColumn="0" showRowStripes="0" showColumnStripes="0"/>
</table>
</file>

<file path=xl/tables/table42.xml><?xml version="1.0" encoding="utf-8"?>
<table xmlns="http://schemas.openxmlformats.org/spreadsheetml/2006/main" id="42" name="tbl_DIM_Collection" displayName="tbl_DIM_Collection" ref="B11:E12" headerRowCount="1">
  <autoFilter ref="B11:E12"/>
  <tableColumns count="4">
    <tableColumn id="2" name="CollectionKey"/>
    <tableColumn id="3" name="CollectionID"/>
    <tableColumn id="4" name="Title"/>
    <tableColumn id="5" name="Handle"/>
  </tableColumns>
  <tableStyleInfo name="TableStyleLight1" showFirstColumn="0" showLastColumn="0" showRowStripes="0" showColumnStripes="0"/>
</table>
</file>

<file path=xl/tables/table43.xml><?xml version="1.0" encoding="utf-8"?>
<table xmlns="http://schemas.openxmlformats.org/spreadsheetml/2006/main" id="43" name="tbl_DIM_Parameters" displayName="tbl_DIM_Parameters" ref="B11:C12" headerRowCount="1">
  <autoFilter ref="B11:C12"/>
  <tableColumns count="2">
    <tableColumn id="2" name="ParameterName"/>
    <tableColumn id="3" name="ParameterValue"/>
  </tableColumns>
  <tableStyleInfo name="TableStyleLight1" showFirstColumn="0" showLastColumn="0" showRowStripes="0" showColumnStripes="0"/>
</table>
</file>

<file path=xl/tables/table44.xml><?xml version="1.0" encoding="utf-8"?>
<table xmlns="http://schemas.openxmlformats.org/spreadsheetml/2006/main" id="44" name="tbl_DIM_Supplier" displayName="tbl_DIM_Supplier" ref="B11:G12" headerRowCount="1">
  <autoFilter ref="B11:G12"/>
  <tableColumns count="6">
    <tableColumn id="2" name="SupplierKey"/>
    <tableColumn id="3" name="SupplierID"/>
    <tableColumn id="4" name="SupplierName"/>
    <tableColumn id="5" name="SupplierType"/>
    <tableColumn id="6" name="Currency"/>
    <tableColumn id="7" name="Status"/>
  </tableColumns>
  <tableStyleInfo name="TableStyleLight1" showFirstColumn="0" showLastColumn="0" showRowStripes="0" showColumnStripes="0"/>
</table>
</file>

<file path=xl/tables/table45.xml><?xml version="1.0" encoding="utf-8"?>
<table xmlns="http://schemas.openxmlformats.org/spreadsheetml/2006/main" id="45" name="tbl_DIM_ProductCostHistory" displayName="tbl_DIM_ProductCostHistory" ref="B11:J12" headerRowCount="1">
  <autoFilter ref="B11:J12"/>
  <tableColumns count="9">
    <tableColumn id="2" name="CostKey"/>
    <tableColumn id="3" name="SKU"/>
    <tableColumn id="4" name="Collection"/>
    <tableColumn id="5" name="TotalLandedCost"/>
    <tableColumn id="6" name="SellingPrice"/>
    <tableColumn id="7" name="ExpectedGrossMarginPct"/>
    <tableColumn id="8" name="EffectiveFromDate"/>
    <tableColumn id="9" name="EffectiveToDate"/>
    <tableColumn id="10" name="ActiveFlag"/>
  </tableColumns>
  <tableStyleInfo name="TableStyleLight1" showFirstColumn="0" showLastColumn="0" showRowStripes="0" showColumnStripes="0"/>
</table>
</file>

<file path=xl/tables/table46.xml><?xml version="1.0" encoding="utf-8"?>
<table xmlns="http://schemas.openxmlformats.org/spreadsheetml/2006/main" id="46" name="tbl_FACT_OrderLines" displayName="tbl_FACT_OrderLines" ref="B11:P12" headerRowCount="1">
  <autoFilter ref="B11:P12"/>
  <tableColumns count="15">
    <tableColumn id="2" name="OrderLineKey"/>
    <tableColumn id="3" name="OrderID"/>
    <tableColumn id="4" name="DateKey"/>
    <tableColumn id="5" name="ProductKey"/>
    <tableColumn id="6" name="CustomerKey"/>
    <tableColumn id="7" name="LocationKey"/>
    <tableColumn id="8" name="Quantity"/>
    <tableColumn id="9" name="UnitPrice"/>
    <tableColumn id="10" name="GrossAmount"/>
    <tableColumn id="11" name="DiscountAmount"/>
    <tableColumn id="12" name="TaxAmount"/>
    <tableColumn id="13" name="NetAmount"/>
    <tableColumn id="14" name="UnitCost"/>
    <tableColumn id="15" name="COGS"/>
    <tableColumn id="16" name="MissingCostFlag"/>
  </tableColumns>
  <tableStyleInfo name="TableStyleLight1" showFirstColumn="0" showLastColumn="0" showRowStripes="0" showColumnStripes="0"/>
</table>
</file>

<file path=xl/tables/table47.xml><?xml version="1.0" encoding="utf-8"?>
<table xmlns="http://schemas.openxmlformats.org/spreadsheetml/2006/main" id="47" name="tbl_FACT_Refunds" displayName="tbl_FACT_Refunds" ref="B11:F12" headerRowCount="1">
  <autoFilter ref="B11:F12"/>
  <tableColumns count="5">
    <tableColumn id="2" name="RefundKey"/>
    <tableColumn id="3" name="OrderLineKey"/>
    <tableColumn id="4" name="DateKey"/>
    <tableColumn id="5" name="Quantity"/>
    <tableColumn id="6" name="RefundAmount"/>
  </tableColumns>
  <tableStyleInfo name="TableStyleLight1" showFirstColumn="0" showLastColumn="0" showRowStripes="0" showColumnStripes="0"/>
</table>
</file>

<file path=xl/tables/table48.xml><?xml version="1.0" encoding="utf-8"?>
<table xmlns="http://schemas.openxmlformats.org/spreadsheetml/2006/main" id="48" name="tbl_FACT_InventoryMovements" displayName="tbl_FACT_InventoryMovements" ref="B11:H12" headerRowCount="1">
  <autoFilter ref="B11:H12"/>
  <tableColumns count="7">
    <tableColumn id="2" name="MovementKey"/>
    <tableColumn id="3" name="DateKey"/>
    <tableColumn id="4" name="ProductKey"/>
    <tableColumn id="5" name="LocationKey"/>
    <tableColumn id="6" name="MovementType"/>
    <tableColumn id="7" name="QuantityChange"/>
    <tableColumn id="8" name="ResultingOnHand"/>
  </tableColumns>
  <tableStyleInfo name="TableStyleLight1" showFirstColumn="0" showLastColumn="0" showRowStripes="0" showColumnStripes="0"/>
</table>
</file>

<file path=xl/tables/table49.xml><?xml version="1.0" encoding="utf-8"?>
<table xmlns="http://schemas.openxmlformats.org/spreadsheetml/2006/main" id="49" name="tbl_FACT_Payments" displayName="tbl_FACT_Payments" ref="B11:H12" headerRowCount="1">
  <autoFilter ref="B11:H12"/>
  <tableColumns count="7">
    <tableColumn id="2" name="PaymentKey"/>
    <tableColumn id="3" name="OrderID"/>
    <tableColumn id="4" name="DateKey"/>
    <tableColumn id="5" name="PaymentMethod"/>
    <tableColumn id="6" name="Currency"/>
    <tableColumn id="7" name="Amount"/>
    <tableColumn id="8" name="PresentmentAmount"/>
  </tableColumns>
  <tableStyleInfo name="TableStyleLight1" showFirstColumn="0" showLastColumn="0" showRowStripes="0" showColumnStripes="0"/>
</table>
</file>

<file path=xl/tables/table50.xml><?xml version="1.0" encoding="utf-8"?>
<table xmlns="http://schemas.openxmlformats.org/spreadsheetml/2006/main" id="50" name="tbl_FACT_ManualExpenses" displayName="tbl_FACT_ManualExpenses" ref="B11:N12" headerRowCount="1">
  <autoFilter ref="B11:N12"/>
  <tableColumns count="13">
    <tableColumn id="2" name="ExpenseKey"/>
    <tableColumn id="3" name="DateKey"/>
    <tableColumn id="4" name="ExpenseDate"/>
    <tableColumn id="5" name="ExpenseCategory"/>
    <tableColumn id="6" name="ExpenseSubcategory"/>
    <tableColumn id="7" name="SupplierID"/>
    <tableColumn id="8" name="Amount"/>
    <tableColumn id="9" name="Currency"/>
    <tableColumn id="10" name="PaymentMethod"/>
    <tableColumn id="11" name="RelatedCollection"/>
    <tableColumn id="12" name="RelatedSKU"/>
    <tableColumn id="13" name="CostCenter"/>
    <tableColumn id="14" name="InvoiceNumber"/>
  </tableColumns>
  <tableStyleInfo name="TableStyleLight1" showFirstColumn="0" showLastColumn="0" showRowStripes="0" showColumnStripes="0"/>
</table>
</file>

<file path=xl/tables/table51.xml><?xml version="1.0" encoding="utf-8"?>
<table xmlns="http://schemas.openxmlformats.org/spreadsheetml/2006/main" id="51" name="tbl_FACT_CapitalTransactions" displayName="tbl_FACT_CapitalTransactions" ref="B11:G12" headerRowCount="1">
  <autoFilter ref="B11:G12"/>
  <tableColumns count="6">
    <tableColumn id="2" name="CapitalKey"/>
    <tableColumn id="3" name="DateKey"/>
    <tableColumn id="4" name="Date"/>
    <tableColumn id="5" name="Owner"/>
    <tableColumn id="6" name="TransactionType"/>
    <tableColumn id="7" name="Amount"/>
  </tableColumns>
  <tableStyleInfo name="TableStyleLight1" showFirstColumn="0" showLastColumn="0" showRowStripes="0" showColumnStripes="0"/>
</table>
</file>

<file path=xl/tables/table52.xml><?xml version="1.0" encoding="utf-8"?>
<table xmlns="http://schemas.openxmlformats.org/spreadsheetml/2006/main" id="52" name="tbl_FACT_PurchaseOrderHeader" displayName="tbl_FACT_PurchaseOrderHeader" ref="B11:H12" headerRowCount="1">
  <autoFilter ref="B11:H12"/>
  <tableColumns count="7">
    <tableColumn id="2" name="PONumber"/>
    <tableColumn id="3" name="DateKey"/>
    <tableColumn id="4" name="SupplierID"/>
    <tableColumn id="5" name="OrderDate"/>
    <tableColumn id="6" name="ExpectedDeliveryDate"/>
    <tableColumn id="7" name="Status"/>
    <tableColumn id="8" name="Currency"/>
  </tableColumns>
  <tableStyleInfo name="TableStyleLight1" showFirstColumn="0" showLastColumn="0" showRowStripes="0" showColumnStripes="0"/>
</table>
</file>

<file path=xl/tables/table53.xml><?xml version="1.0" encoding="utf-8"?>
<table xmlns="http://schemas.openxmlformats.org/spreadsheetml/2006/main" id="53" name="tbl_FACT_PurchaseOrderLines" displayName="tbl_FACT_PurchaseOrderLines" ref="B11:F12" headerRowCount="1">
  <autoFilter ref="B11:F12"/>
  <tableColumns count="5">
    <tableColumn id="2" name="PONumber"/>
    <tableColumn id="3" name="SKU"/>
    <tableColumn id="4" name="QuantityOrdered"/>
    <tableColumn id="5" name="UnitCost"/>
    <tableColumn id="6" name="TotalCost"/>
  </tableColumns>
  <tableStyleInfo name="TableStyleLight1" showFirstColumn="0" showLastColumn="0" showRowStripes="0" showColumnStripes="0"/>
</table>
</file>

<file path=xl/tables/table54.xml><?xml version="1.0" encoding="utf-8"?>
<table xmlns="http://schemas.openxmlformats.org/spreadsheetml/2006/main" id="54" name="tbl_FACT_GoodsReceipt" displayName="tbl_FACT_GoodsReceipt" ref="B11:J12" headerRowCount="1">
  <autoFilter ref="B11:J12"/>
  <tableColumns count="9">
    <tableColumn id="2" name="PONumber"/>
    <tableColumn id="3" name="DateKey"/>
    <tableColumn id="4" name="SKU"/>
    <tableColumn id="5" name="GoodsReceivedDate"/>
    <tableColumn id="6" name="QuantityReceived"/>
    <tableColumn id="7" name="RemainingQuantity"/>
    <tableColumn id="8" name="ActualUnitCost"/>
    <tableColumn id="9" name="VarianceFromPO"/>
    <tableColumn id="10" name="Warehouse"/>
  </tableColumns>
  <tableStyleInfo name="TableStyleLight1" showFirstColumn="0" showLastColumn="0" showRowStripes="0" showColumnStripes="0"/>
</table>
</file>

<file path=xl/tables/table55.xml><?xml version="1.0" encoding="utf-8"?>
<table xmlns="http://schemas.openxmlformats.org/spreadsheetml/2006/main" id="55" name="tbl_LOG_RefreshHistory" displayName="tbl_LOG_RefreshHistory" ref="B11:I12" headerRowCount="1">
  <autoFilter ref="B11:I12"/>
  <tableColumns count="8">
    <tableColumn id="2" name="RefreshID"/>
    <tableColumn id="3" name="Timestamp"/>
    <tableColumn id="4" name="Source"/>
    <tableColumn id="5" name="RowsLoaded"/>
    <tableColumn id="6" name="RowsUpdated"/>
    <tableColumn id="7" name="Errors"/>
    <tableColumn id="8" name="DurationSeconds"/>
    <tableColumn id="9" name="TriggeredBy"/>
  </tableColumns>
  <tableStyleInfo name="TableStyleLight1" showFirstColumn="0" showLastColumn="0" showRowStripes="0" showColumnStripes="0"/>
</table>
</file>

<file path=xl/tables/table56.xml><?xml version="1.0" encoding="utf-8"?>
<table xmlns="http://schemas.openxmlformats.org/spreadsheetml/2006/main" id="56" name="tbl_LOG_DataQuality" displayName="tbl_LOG_DataQuality" ref="B11:G12" headerRowCount="1">
  <autoFilter ref="B11:G12"/>
  <tableColumns count="6">
    <tableColumn id="2" name="CheckID"/>
    <tableColumn id="3" name="Timestamp"/>
    <tableColumn id="4" name="CheckName"/>
    <tableColumn id="5" name="TableName"/>
    <tableColumn id="6" name="Status"/>
    <tableColumn id="7" name="Details"/>
  </tableColumns>
  <tableStyleInfo name="TableStyleLight1" showFirstColumn="0" showLastColumn="0" showRowStripes="0" showColumnStripes="0"/>
</table>
</file>

<file path=xl/tables/table57.xml><?xml version="1.0" encoding="utf-8"?>
<table xmlns="http://schemas.openxmlformats.org/spreadsheetml/2006/main" id="57" name="tbl_RAW_MetaAds" displayName="tbl_RAW_Meta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58.xml><?xml version="1.0" encoding="utf-8"?>
<table xmlns="http://schemas.openxmlformats.org/spreadsheetml/2006/main" id="58" name="tbl_RAW_GoogleAnalytics" displayName="tbl_RAW_GoogleAnalytic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59.xml><?xml version="1.0" encoding="utf-8"?>
<table xmlns="http://schemas.openxmlformats.org/spreadsheetml/2006/main" id="59" name="tbl_RAW_GoogleAds" displayName="tbl_RAW_Google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0.xml><?xml version="1.0" encoding="utf-8"?>
<table xmlns="http://schemas.openxmlformats.org/spreadsheetml/2006/main" id="60" name="tbl_RAW_TikTokAds" displayName="tbl_RAW_TikTokAd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1.xml><?xml version="1.0" encoding="utf-8"?>
<table xmlns="http://schemas.openxmlformats.org/spreadsheetml/2006/main" id="61" name="tbl_RAW_EmailMarketing" displayName="tbl_RAW_EmailMarketing"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2.xml><?xml version="1.0" encoding="utf-8"?>
<table xmlns="http://schemas.openxmlformats.org/spreadsheetml/2006/main" id="62" name="tbl_RAW_InfluencerCampaigns" displayName="tbl_RAW_InfluencerCampaigns" ref="B11:I12" headerRowCount="1">
  <autoFilter ref="B11:I12"/>
  <tableColumns count="8">
    <tableColumn id="2" name="DateKey"/>
    <tableColumn id="3" name="CampaignID"/>
    <tableColumn id="4" name="CampaignName"/>
    <tableColumn id="5" name="Spend"/>
    <tableColumn id="6" name="Impressions"/>
    <tableColumn id="7" name="Clicks"/>
    <tableColumn id="8" name="Conversions"/>
    <tableColumn id="9" name="Currency"/>
  </tableColumns>
  <tableStyleInfo name="TableStyleLight1" showFirstColumn="0" showLastColumn="0" showRowStripes="0" showColumnStripes="0"/>
</table>
</file>

<file path=xl/tables/table63.xml><?xml version="1.0" encoding="utf-8"?>
<table xmlns="http://schemas.openxmlformats.org/spreadsheetml/2006/main" id="63" name="tbl_FACT_MarketingSpend" displayName="tbl_FACT_MarketingSpend" ref="B11:H12" headerRowCount="1">
  <autoFilter ref="B11:H12"/>
  <tableColumns count="7">
    <tableColumn id="2" name="DateKey"/>
    <tableColumn id="3" name="ChannelName"/>
    <tableColumn id="4" name="CampaignID"/>
    <tableColumn id="5" name="CampaignName"/>
    <tableColumn id="6" name="Spend"/>
    <tableColumn id="7" name="Conversions"/>
    <tableColumn id="8" name="Currency"/>
  </tableColumns>
  <tableStyleInfo name="TableStyleLight1" showFirstColumn="0" showLastColumn="0" showRowStripes="0" showColumnStripes="0"/>
</table>
</file>

<file path=xl/tables/table64.xml><?xml version="1.0" encoding="utf-8"?>
<table xmlns="http://schemas.openxmlformats.org/spreadsheetml/2006/main" id="64" name="tbl_FUTURE_AI_Insights" displayName="tbl_FUTURE_AI_Insights" ref="B11:E12" headerRowCount="1">
  <autoFilter ref="B11:E12"/>
  <tableColumns count="4">
    <tableColumn id="2" name="FeatureName"/>
    <tableColumn id="3" name="Status"/>
    <tableColumn id="4" name="Description"/>
    <tableColumn id="5" name="WouldReplaceOrEnrich"/>
  </tableColumns>
  <tableStyleInfo name="TableStyleLight1" showFirstColumn="0" showLastColumn="0" showRowStripes="0" showColumnStripes="0"/>
</table>
</file>

<file path=xl/tables/table65.xml><?xml version="1.0" encoding="utf-8"?>
<table xmlns="http://schemas.openxmlformats.org/spreadsheetml/2006/main" id="65" name="tbl_BI_Insights" displayName="tbl_BI_Insights" ref="B11:E12" headerRowCount="1">
  <autoFilter ref="B11:E12"/>
  <tableColumns count="4">
    <tableColumn id="2" name="InsightID"/>
    <tableColumn id="3" name="Category"/>
    <tableColumn id="4" name="InsightText"/>
    <tableColumn id="5" name="Severity"/>
  </tableColumns>
  <tableStyleInfo name="TableStyleLight1" showFirstColumn="0" showLastColumn="0" showRowStripes="0" showColumnStripes="0"/>
</table>
</file>

<file path=xl/tables/table66.xml><?xml version="1.0" encoding="utf-8"?>
<table xmlns="http://schemas.openxmlformats.org/spreadsheetml/2006/main" id="66" name="tbl_BI_Alerts" displayName="tbl_BI_Alerts" ref="B11:F12" headerRowCount="1">
  <autoFilter ref="B11:F12"/>
  <tableColumns count="5">
    <tableColumn id="2" name="AlertID"/>
    <tableColumn id="3" name="AlertName"/>
    <tableColumn id="4" name="Condition"/>
    <tableColumn id="5" name="Status"/>
    <tableColumn id="6" name="Severity"/>
  </tableColumns>
  <tableStyleInfo name="TableStyleLight1" showFirstColumn="0" showLastColumn="0" showRowStripes="0" showColumnStripes="0"/>
</table>
</file>

<file path=xl/tables/table67.xml><?xml version="1.0" encoding="utf-8"?>
<table xmlns="http://schemas.openxmlformats.org/spreadsheetml/2006/main" id="67" name="tbl_BI_Forecast" displayName="tbl_BI_Forecast" ref="B11:E12" headerRowCount="1">
  <autoFilter ref="B11:E12"/>
  <tableColumns count="4">
    <tableColumn id="2" name="Metric"/>
    <tableColumn id="3" name="Method"/>
    <tableColumn id="4" name="ForecastPeriod"/>
    <tableColumn id="5" name="ForecastValu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Partner_Dashboard'!A1" TargetMode="External" Id="rId1" /><Relationship Type="http://schemas.openxmlformats.org/officeDocument/2006/relationships/hyperlink" Target="#'03_CEO_Dashboard'!A1" TargetMode="External" Id="rId2" /><Relationship Type="http://schemas.openxmlformats.org/officeDocument/2006/relationships/hyperlink" Target="#'04_Sales'!A1" TargetMode="External" Id="rId3" /><Relationship Type="http://schemas.openxmlformats.org/officeDocument/2006/relationships/hyperlink" Target="#'05_Products'!A1" TargetMode="External" Id="rId4" /><Relationship Type="http://schemas.openxmlformats.org/officeDocument/2006/relationships/hyperlink" Target="#'06_Customers'!A1" TargetMode="External" Id="rId5" /><Relationship Type="http://schemas.openxmlformats.org/officeDocument/2006/relationships/hyperlink" Target="#'07_Inventory'!A1" TargetMode="External" Id="rId6" /><Relationship Type="http://schemas.openxmlformats.org/officeDocument/2006/relationships/hyperlink" Target="#'08_Finance'!A1" TargetMode="External" Id="rId7" /><Relationship Type="http://schemas.openxmlformats.org/officeDocument/2006/relationships/hyperlink" Target="#'09_Profitability'!A1" TargetMode="External" Id="rId8" /><Relationship Type="http://schemas.openxmlformats.org/officeDocument/2006/relationships/hyperlink" Target="#'10_Expenses'!A1" TargetMode="External" Id="rId9" /><Relationship Type="http://schemas.openxmlformats.org/officeDocument/2006/relationships/hyperlink" Target="#'11_Capital'!A1" TargetMode="External" Id="rId10" /><Relationship Type="http://schemas.openxmlformats.org/officeDocument/2006/relationships/hyperlink" Target="#'12_Suppliers'!A1" TargetMode="External" Id="rId11" /><Relationship Type="http://schemas.openxmlformats.org/officeDocument/2006/relationships/hyperlink" Target="#'13_Marketing'!A1" TargetMode="External" Id="rId12" /><Relationship Type="http://schemas.openxmlformats.org/officeDocument/2006/relationships/hyperlink" Target="#'14_Data_Quality'!A1" TargetMode="External" Id="rId13" /><Relationship Type="http://schemas.openxmlformats.org/officeDocument/2006/relationships/hyperlink" Target="#'15_Settings'!A1" TargetMode="External" Id="rId14" /></Relationships>
</file>

<file path=xl/worksheets/_rels/sheet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drawing" Target="/xl/drawings/drawing1.xml" Id="rId2" /></Relationships>
</file>

<file path=xl/worksheets/_rels/sheet3.xml.rels><Relationships xmlns="http://schemas.openxmlformats.org/package/2006/relationships"><Relationship Type="http://schemas.openxmlformats.org/officeDocument/2006/relationships/hyperlink" Target="#'01_Home'!A1" TargetMode="External" Id="rId1" /></Relationships>
</file>

<file path=xl/worksheets/_rels/sheet4.xml.rels><Relationships xmlns="http://schemas.openxmlformats.org/package/2006/relationships"><Relationship Type="http://schemas.openxmlformats.org/officeDocument/2006/relationships/hyperlink" Target="#'01_Home'!A1" TargetMode="External" Id="rId1" /></Relationships>
</file>

<file path=xl/worksheets/_rels/sheet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1.xml" Id="rId2" /></Relationships>
</file>

<file path=xl/worksheets/_rels/sheet6.xml.rels><Relationships xmlns="http://schemas.openxmlformats.org/package/2006/relationships"><Relationship Type="http://schemas.openxmlformats.org/officeDocument/2006/relationships/hyperlink" Target="#'01_Home'!A1" TargetMode="External" Id="rId1" /></Relationships>
</file>

<file path=xl/worksheets/_rels/sheet7.xml.rels><Relationships xmlns="http://schemas.openxmlformats.org/package/2006/relationships"><Relationship Type="http://schemas.openxmlformats.org/officeDocument/2006/relationships/hyperlink" Target="#'01_Home'!A1" TargetMode="External" Id="rId1" /></Relationships>
</file>

<file path=xl/worksheets/_rels/sheet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2.xml" Id="rId2" /></Relationships>
</file>

<file path=xl/worksheets/_rels/sheet9.xml.rels><Relationships xmlns="http://schemas.openxmlformats.org/package/2006/relationships"><Relationship Type="http://schemas.openxmlformats.org/officeDocument/2006/relationships/hyperlink" Target="#'01_Home'!A1" TargetMode="External" Id="rId1" /></Relationships>
</file>

<file path=xl/worksheets/_rels/sheet1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xml" Id="rId2" /></Relationships>
</file>

<file path=xl/worksheets/_rels/sheet1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xml" Id="rId2" /></Relationships>
</file>

<file path=xl/worksheets/_rels/sheet1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xml" Id="rId2" /><Relationship Type="http://schemas.openxmlformats.org/officeDocument/2006/relationships/table" Target="/xl/tables/table6.xml" Id="rId3" /><Relationship Type="http://schemas.openxmlformats.org/officeDocument/2006/relationships/table" Target="/xl/tables/table7.xml" Id="rId4" /><Relationship Type="http://schemas.openxmlformats.org/officeDocument/2006/relationships/table" Target="/xl/tables/table8.xml" Id="rId5" /></Relationships>
</file>

<file path=xl/worksheets/_rels/sheet13.xml.rels><Relationships xmlns="http://schemas.openxmlformats.org/package/2006/relationships"><Relationship Type="http://schemas.openxmlformats.org/officeDocument/2006/relationships/hyperlink" Target="#'01_Home'!A1" TargetMode="External" Id="rId1" /></Relationships>
</file>

<file path=xl/worksheets/_rels/sheet1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9.xml" Id="rId2" /><Relationship Type="http://schemas.openxmlformats.org/officeDocument/2006/relationships/table" Target="/xl/tables/table10.xml" Id="rId3" /></Relationships>
</file>

<file path=xl/worksheets/_rels/sheet1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11.xml" Id="rId2" /><Relationship Type="http://schemas.openxmlformats.org/officeDocument/2006/relationships/table" Target="/xl/tables/table12.xml" Id="rId3" /><Relationship Type="http://schemas.openxmlformats.org/officeDocument/2006/relationships/table" Target="/xl/tables/table13.xml" Id="rId4" /><Relationship Type="http://schemas.openxmlformats.org/officeDocument/2006/relationships/table" Target="/xl/tables/table14.xml" Id="rId5" /><Relationship Type="http://schemas.openxmlformats.org/officeDocument/2006/relationships/table" Target="/xl/tables/table15.xml" Id="rId6" /><Relationship Type="http://schemas.openxmlformats.org/officeDocument/2006/relationships/table" Target="/xl/tables/table16.xml" Id="rId7" /><Relationship Type="http://schemas.openxmlformats.org/officeDocument/2006/relationships/table" Target="/xl/tables/table17.xml" Id="rId8" /><Relationship Type="http://schemas.openxmlformats.org/officeDocument/2006/relationships/table" Target="/xl/tables/table18.xml" Id="rId9" /><Relationship Type="http://schemas.openxmlformats.org/officeDocument/2006/relationships/table" Target="/xl/tables/table19.xml" Id="rId10" /><Relationship Type="http://schemas.openxmlformats.org/officeDocument/2006/relationships/table" Target="/xl/tables/table20.xml" Id="rId11" /><Relationship Type="http://schemas.openxmlformats.org/officeDocument/2006/relationships/table" Target="/xl/tables/table21.xml" Id="rId12" /><Relationship Type="http://schemas.openxmlformats.org/officeDocument/2006/relationships/table" Target="/xl/tables/table22.xml" Id="rId13" /><Relationship Type="http://schemas.openxmlformats.org/officeDocument/2006/relationships/table" Target="/xl/tables/table23.xml" Id="rId14" /><Relationship Type="http://schemas.openxmlformats.org/officeDocument/2006/relationships/table" Target="/xl/tables/table24.xml" Id="rId15" /><Relationship Type="http://schemas.openxmlformats.org/officeDocument/2006/relationships/table" Target="/xl/tables/table25.xml" Id="rId16" /><Relationship Type="http://schemas.openxmlformats.org/officeDocument/2006/relationships/table" Target="/xl/tables/table26.xml" Id="rId17" /><Relationship Type="http://schemas.openxmlformats.org/officeDocument/2006/relationships/table" Target="/xl/tables/table27.xml" Id="rId18" /></Relationships>
</file>

<file path=xl/worksheets/_rels/sheet1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28.xml" Id="rId2" /></Relationships>
</file>

<file path=xl/worksheets/_rels/sheet1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29.xml" Id="rId2" /></Relationships>
</file>

<file path=xl/worksheets/_rels/sheet1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0.xml" Id="rId2" /></Relationships>
</file>

<file path=xl/worksheets/_rels/sheet1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1.xml" Id="rId2" /></Relationships>
</file>

<file path=xl/worksheets/_rels/sheet2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2.xml" Id="rId2" /></Relationships>
</file>

<file path=xl/worksheets/_rels/sheet2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3.xml" Id="rId2" /></Relationships>
</file>

<file path=xl/worksheets/_rels/sheet2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4.xml" Id="rId2" /></Relationships>
</file>

<file path=xl/worksheets/_rels/sheet2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5.xml" Id="rId2" /></Relationships>
</file>

<file path=xl/worksheets/_rels/sheet2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6.xml" Id="rId2" /></Relationships>
</file>

<file path=xl/worksheets/_rels/sheet2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7.xml" Id="rId2" /></Relationships>
</file>

<file path=xl/worksheets/_rels/sheet2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8.xml" Id="rId2" /></Relationships>
</file>

<file path=xl/worksheets/_rels/sheet2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39.xml" Id="rId2" /></Relationships>
</file>

<file path=xl/worksheets/_rels/sheet2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0.xml" Id="rId2" /></Relationships>
</file>

<file path=xl/worksheets/_rels/sheet2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1.xml" Id="rId2" /></Relationships>
</file>

<file path=xl/worksheets/_rels/sheet3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2.xml" Id="rId2" /></Relationships>
</file>

<file path=xl/worksheets/_rels/sheet3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3.xml" Id="rId2" /></Relationships>
</file>

<file path=xl/worksheets/_rels/sheet3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4.xml" Id="rId2" /></Relationships>
</file>

<file path=xl/worksheets/_rels/sheet3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5.xml" Id="rId2" /></Relationships>
</file>

<file path=xl/worksheets/_rels/sheet3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6.xml" Id="rId2" /></Relationships>
</file>

<file path=xl/worksheets/_rels/sheet3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7.xml" Id="rId2" /></Relationships>
</file>

<file path=xl/worksheets/_rels/sheet3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8.xml" Id="rId2" /></Relationships>
</file>

<file path=xl/worksheets/_rels/sheet3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49.xml" Id="rId2" /></Relationships>
</file>

<file path=xl/worksheets/_rels/sheet3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0.xml" Id="rId2" /></Relationships>
</file>

<file path=xl/worksheets/_rels/sheet3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1.xml" Id="rId2" /></Relationships>
</file>

<file path=xl/worksheets/_rels/sheet4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2.xml" Id="rId2" /></Relationships>
</file>

<file path=xl/worksheets/_rels/sheet4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3.xml" Id="rId2" /></Relationships>
</file>

<file path=xl/worksheets/_rels/sheet4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4.xml" Id="rId2" /></Relationships>
</file>

<file path=xl/worksheets/_rels/sheet4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5.xml" Id="rId2" /></Relationships>
</file>

<file path=xl/worksheets/_rels/sheet4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6.xml" Id="rId2" /></Relationships>
</file>

<file path=xl/worksheets/_rels/sheet4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7.xml" Id="rId2" /></Relationships>
</file>

<file path=xl/worksheets/_rels/sheet46.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8.xml" Id="rId2" /></Relationships>
</file>

<file path=xl/worksheets/_rels/sheet47.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59.xml" Id="rId2" /></Relationships>
</file>

<file path=xl/worksheets/_rels/sheet48.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0.xml" Id="rId2" /></Relationships>
</file>

<file path=xl/worksheets/_rels/sheet49.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1.xml" Id="rId2" /></Relationships>
</file>

<file path=xl/worksheets/_rels/sheet50.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2.xml" Id="rId2" /></Relationships>
</file>

<file path=xl/worksheets/_rels/sheet51.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3.xml" Id="rId2" /></Relationships>
</file>

<file path=xl/worksheets/_rels/sheet52.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4.xml" Id="rId2" /></Relationships>
</file>

<file path=xl/worksheets/_rels/sheet53.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5.xml" Id="rId2" /></Relationships>
</file>

<file path=xl/worksheets/_rels/sheet54.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6.xml" Id="rId2" /></Relationships>
</file>

<file path=xl/worksheets/_rels/sheet55.xml.rels><Relationships xmlns="http://schemas.openxmlformats.org/package/2006/relationships"><Relationship Type="http://schemas.openxmlformats.org/officeDocument/2006/relationships/hyperlink" Target="#'01_Home'!A1" TargetMode="External" Id="rId1" /><Relationship Type="http://schemas.openxmlformats.org/officeDocument/2006/relationships/table" Target="/xl/tables/table67.xml" Id="rId2" /></Relationships>
</file>

<file path=xl/worksheets/sheet1.xml><?xml version="1.0" encoding="utf-8"?>
<worksheet xmlns="http://schemas.openxmlformats.org/spreadsheetml/2006/main">
  <sheetPr>
    <tabColor rgb="00000000"/>
    <outlinePr applyStyles="1" summaryBelow="0" summaryRight="1"/>
    <pageSetUpPr/>
  </sheetPr>
  <dimension ref="A1:N34"/>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4" customHeight="1">
      <c r="A1" s="1" t="inlineStr">
        <is>
          <t>PASSRESS MIS — Home</t>
        </is>
      </c>
    </row>
    <row r="2" ht="16" customHeight="1">
      <c r="A2" s="2" t="inlineStr">
        <is>
          <t>PASSRESS MIS   |   Home</t>
        </is>
      </c>
    </row>
    <row r="3" ht="14" customHeight="1">
      <c r="A3" s="3" t="inlineStr">
        <is>
          <t>Sheet Documentation  (use the  +  outline control at left to expand)</t>
        </is>
      </c>
    </row>
    <row r="4" hidden="1" outlineLevel="1" ht="13" customHeight="1">
      <c r="A4" s="4" t="inlineStr">
        <is>
          <t>Purpose</t>
        </is>
      </c>
      <c r="B4" s="5" t="inlineStr">
        <is>
          <t>Landing page and navigation hub for the entire workbook.</t>
        </is>
      </c>
    </row>
    <row r="5" hidden="1" outlineLevel="1" ht="13" customHeight="1">
      <c r="A5" s="4" t="inlineStr">
        <is>
          <t>Input tables</t>
        </is>
      </c>
      <c r="B5" s="5" t="inlineStr">
        <is>
          <t>None — display only.</t>
        </is>
      </c>
    </row>
    <row r="6" hidden="1" outlineLevel="1" ht="13" customHeight="1">
      <c r="A6" s="4" t="inlineStr">
        <is>
          <t>Output tables</t>
        </is>
      </c>
      <c r="B6" s="5" t="inlineStr">
        <is>
          <t>None.</t>
        </is>
      </c>
    </row>
    <row r="7" hidden="1" outlineLevel="1" ht="13" customHeight="1">
      <c r="A7" s="4" t="inlineStr">
        <is>
          <t>Relationships</t>
        </is>
      </c>
      <c r="B7" s="5" t="inlineStr">
        <is>
          <t>Links to all 14 other visible sheets. Reads workbook status from LOG_RefreshHistory and LOG_DataQuality.</t>
        </is>
      </c>
    </row>
    <row r="8" hidden="1" outlineLevel="1" ht="13" customHeight="1">
      <c r="A8" s="4" t="inlineStr">
        <is>
          <t>Future data source</t>
        </is>
      </c>
      <c r="B8" s="5" t="inlineStr">
        <is>
          <t>LOG_RefreshHistory (last refresh timestamp), LOG_DataQuality (overall status) — wired in Phase 2/4.</t>
        </is>
      </c>
    </row>
    <row r="9" hidden="1" outlineLevel="1"/>
    <row r="10" ht="6" customHeight="1"/>
    <row r="11" ht="15" customHeight="1">
      <c r="B11" s="6" t="inlineStr">
        <is>
          <t>LAST REFRESH</t>
        </is>
      </c>
      <c r="C11" s="7" t="n"/>
      <c r="D11" s="6" t="inlineStr">
        <is>
          <t>DATA QUALITY</t>
        </is>
      </c>
      <c r="E11" s="7" t="n"/>
      <c r="F11" s="6" t="inlineStr">
        <is>
          <t>WORKBOOK VERSION</t>
        </is>
      </c>
      <c r="G11" s="7" t="n"/>
      <c r="H11" s="6" t="inlineStr">
        <is>
          <t>PHASE COMPLETED</t>
        </is>
      </c>
      <c r="I11" s="7" t="n"/>
    </row>
    <row r="12" ht="22" customHeight="1">
      <c r="B12" s="8" t="inlineStr">
        <is>
          <t>—</t>
        </is>
      </c>
      <c r="C12" s="7" t="n"/>
      <c r="D12" s="8" t="inlineStr">
        <is>
          <t>—</t>
        </is>
      </c>
      <c r="E12" s="7" t="n"/>
      <c r="F12" s="8">
        <f>INDEX(tbl_VersionLog[Version],COUNTA(tbl_VersionLog[Version]))</f>
        <v/>
      </c>
      <c r="G12" s="7" t="n"/>
      <c r="H12" s="9">
        <f>INDEX(tbl_VersionLog[Phase],COUNTA(tbl_VersionLog[Phase]))</f>
        <v/>
      </c>
      <c r="I12" s="7" t="n"/>
    </row>
    <row r="13" ht="22" customHeight="1">
      <c r="B13" s="7" t="n"/>
      <c r="C13" s="7" t="n"/>
      <c r="D13" s="7" t="n"/>
      <c r="E13" s="7" t="n"/>
      <c r="F13" s="7" t="n"/>
      <c r="G13" s="7" t="n"/>
      <c r="H13" s="7" t="n"/>
      <c r="I13" s="7" t="n"/>
    </row>
    <row r="15">
      <c r="B15" s="10" t="inlineStr">
        <is>
          <t>NAVIGATION</t>
        </is>
      </c>
    </row>
    <row r="16" ht="18" customHeight="1">
      <c r="B16" s="11" t="inlineStr">
        <is>
          <t>02
Partner Dashboard</t>
        </is>
      </c>
      <c r="C16" s="7" t="n"/>
      <c r="D16" s="11" t="inlineStr">
        <is>
          <t>03
CEO Dashboard</t>
        </is>
      </c>
      <c r="E16" s="7" t="n"/>
      <c r="F16" s="11" t="inlineStr">
        <is>
          <t>04
Sales</t>
        </is>
      </c>
      <c r="G16" s="7" t="n"/>
      <c r="H16" s="11" t="inlineStr">
        <is>
          <t>05
Products</t>
        </is>
      </c>
      <c r="I16" s="7" t="n"/>
    </row>
    <row r="17" ht="18" customHeight="1">
      <c r="B17" s="7" t="n"/>
      <c r="C17" s="7" t="n"/>
      <c r="D17" s="7" t="n"/>
      <c r="E17" s="7" t="n"/>
      <c r="F17" s="7" t="n"/>
      <c r="G17" s="7" t="n"/>
      <c r="H17" s="7" t="n"/>
      <c r="I17" s="7" t="n"/>
    </row>
    <row r="19" ht="18" customHeight="1">
      <c r="B19" s="11" t="inlineStr">
        <is>
          <t>06
Customers</t>
        </is>
      </c>
      <c r="C19" s="7" t="n"/>
      <c r="D19" s="11" t="inlineStr">
        <is>
          <t>07
Inventory</t>
        </is>
      </c>
      <c r="E19" s="7" t="n"/>
      <c r="F19" s="11" t="inlineStr">
        <is>
          <t>08
Finance</t>
        </is>
      </c>
      <c r="G19" s="7" t="n"/>
      <c r="H19" s="11" t="inlineStr">
        <is>
          <t>09
Profitability</t>
        </is>
      </c>
      <c r="I19" s="7" t="n"/>
    </row>
    <row r="20" ht="18" customHeight="1">
      <c r="B20" s="7" t="n"/>
      <c r="C20" s="7" t="n"/>
      <c r="D20" s="7" t="n"/>
      <c r="E20" s="7" t="n"/>
      <c r="F20" s="7" t="n"/>
      <c r="G20" s="7" t="n"/>
      <c r="H20" s="7" t="n"/>
      <c r="I20" s="7" t="n"/>
    </row>
    <row r="22" ht="18" customHeight="1">
      <c r="B22" s="11" t="inlineStr">
        <is>
          <t>10
Expenses</t>
        </is>
      </c>
      <c r="C22" s="7" t="n"/>
      <c r="D22" s="11" t="inlineStr">
        <is>
          <t>11
Capital</t>
        </is>
      </c>
      <c r="E22" s="7" t="n"/>
      <c r="F22" s="11" t="inlineStr">
        <is>
          <t>12
Suppliers</t>
        </is>
      </c>
      <c r="G22" s="7" t="n"/>
      <c r="H22" s="11" t="inlineStr">
        <is>
          <t>13
Marketing</t>
        </is>
      </c>
      <c r="I22" s="7" t="n"/>
    </row>
    <row r="23" ht="18" customHeight="1">
      <c r="B23" s="7" t="n"/>
      <c r="C23" s="7" t="n"/>
      <c r="D23" s="7" t="n"/>
      <c r="E23" s="7" t="n"/>
      <c r="F23" s="7" t="n"/>
      <c r="G23" s="7" t="n"/>
      <c r="H23" s="7" t="n"/>
      <c r="I23" s="7" t="n"/>
    </row>
    <row r="25" ht="18" customHeight="1">
      <c r="B25" s="11" t="inlineStr">
        <is>
          <t>14
Data Quality</t>
        </is>
      </c>
      <c r="C25" s="7" t="n"/>
      <c r="D25" s="11" t="inlineStr">
        <is>
          <t>15
Settings</t>
        </is>
      </c>
      <c r="E25" s="7" t="n"/>
    </row>
    <row r="26" ht="18" customHeight="1">
      <c r="B26" s="7" t="n"/>
      <c r="C26" s="7" t="n"/>
      <c r="D26" s="7" t="n"/>
      <c r="E26" s="7" t="n"/>
    </row>
    <row r="30">
      <c r="B30" s="10" t="inlineStr">
        <is>
          <t>GLOBAL FILTERS  (orange cells = type or choose 'All')</t>
        </is>
      </c>
    </row>
    <row r="31" ht="14" customHeight="1">
      <c r="B31" s="12" t="inlineStr">
        <is>
          <t>Date From</t>
        </is>
      </c>
      <c r="D31" s="12" t="inlineStr">
        <is>
          <t>Date To</t>
        </is>
      </c>
      <c r="F31" s="12" t="inlineStr">
        <is>
          <t>Collection</t>
        </is>
      </c>
      <c r="H31" s="12" t="inlineStr">
        <is>
          <t>SKU</t>
        </is>
      </c>
      <c r="J31" s="12" t="inlineStr">
        <is>
          <t>Supplier</t>
        </is>
      </c>
      <c r="L31" s="12" t="inlineStr">
        <is>
          <t>Location</t>
        </is>
      </c>
      <c r="N31" s="12" t="inlineStr">
        <is>
          <t>Campaign</t>
        </is>
      </c>
    </row>
    <row r="32" ht="18" customHeight="1">
      <c r="B32" s="13" t="inlineStr">
        <is>
          <t>2026-01-01</t>
        </is>
      </c>
      <c r="D32" s="13" t="inlineStr">
        <is>
          <t>2026-12-31</t>
        </is>
      </c>
      <c r="F32" s="13" t="inlineStr">
        <is>
          <t>All</t>
        </is>
      </c>
      <c r="H32" s="13" t="inlineStr">
        <is>
          <t>All</t>
        </is>
      </c>
      <c r="J32" s="13" t="inlineStr">
        <is>
          <t>All</t>
        </is>
      </c>
      <c r="L32" s="13" t="inlineStr">
        <is>
          <t>All</t>
        </is>
      </c>
      <c r="N32" s="13" t="inlineStr">
        <is>
          <t>All (reserved — see Marketing-Ready Layer, not connected yet)</t>
        </is>
      </c>
    </row>
    <row r="34">
      <c r="B34" s="14" t="inlineStr">
        <is>
          <t>Phase 5 build. See 15_Settings' Version Log for the full phase history and roadmap. Data shown on dashboards resolves once the Data Model is wired — see power-query/README.md and dax/README.md.</t>
        </is>
      </c>
    </row>
  </sheetData>
  <sheetProtection selectLockedCells="0" selectUnlockedCells="0" sheet="1" objects="0" insertRows="0" insertHyperlinks="1" autoFilter="1" scenarios="0" formatColumns="0" deleteColumns="0" insertColumns="0" pivotTables="0" deleteRows="0" formatCells="0" formatRows="0" sort="1" password="C24F"/>
  <mergeCells count="30">
    <mergeCell ref="B4:L4"/>
    <mergeCell ref="F11:G11"/>
    <mergeCell ref="F22:G23"/>
    <mergeCell ref="D16:E17"/>
    <mergeCell ref="H22:I23"/>
    <mergeCell ref="B7:L7"/>
    <mergeCell ref="B19:C20"/>
    <mergeCell ref="D12:E13"/>
    <mergeCell ref="H19:I20"/>
    <mergeCell ref="A3:L3"/>
    <mergeCell ref="H16:I17"/>
    <mergeCell ref="A2:L2"/>
    <mergeCell ref="D25:E26"/>
    <mergeCell ref="H12:I13"/>
    <mergeCell ref="B11:C11"/>
    <mergeCell ref="D11:E11"/>
    <mergeCell ref="D19:E20"/>
    <mergeCell ref="F19:G20"/>
    <mergeCell ref="B8:L8"/>
    <mergeCell ref="H11:I11"/>
    <mergeCell ref="B22:C23"/>
    <mergeCell ref="B16:C17"/>
    <mergeCell ref="B25:C26"/>
    <mergeCell ref="F16:G17"/>
    <mergeCell ref="D22:E23"/>
    <mergeCell ref="B12:C13"/>
    <mergeCell ref="B6:L6"/>
    <mergeCell ref="F12:G13"/>
    <mergeCell ref="A1:L1"/>
    <mergeCell ref="B5:L5"/>
  </mergeCells>
  <dataValidations count="3">
    <dataValidation sqref="F32" showDropDown="0" showInputMessage="1" showErrorMessage="1" allowBlank="1" errorTitle="Invalid entry" error="Please choose a value from the Collection list — free text isn't accepted here." promptTitle="Collection" prompt="Choose a Collection, or 'All'." type="list" errorStyle="stop">
      <formula1>=CollectionTitleList</formula1>
    </dataValidation>
    <dataValidation sqref="H32" showDropDown="0" showInputMessage="1" showErrorMessage="1" allowBlank="1" errorTitle="Invalid entry" error="Please choose a value from the SKU list — free text isn't accepted here." promptTitle="SKU" prompt="Choose a SKU, or 'All'." type="list" errorStyle="stop">
      <formula1>=SKUList</formula1>
    </dataValidation>
    <dataValidation sqref="J32" showDropDown="0" showInputMessage="1" showErrorMessage="1" allowBlank="1" errorTitle="Invalid entry" error="Please choose a value from the Supplier list — free text isn't accepted here." promptTitle="Supplier" prompt="Choose a Supplier, or 'All'." type="list" errorStyle="stop">
      <formula1>=SupplierNameList</formula1>
    </dataValidation>
  </dataValidations>
  <hyperlinks>
    <hyperlink xmlns:r="http://schemas.openxmlformats.org/officeDocument/2006/relationships" ref="B16" r:id="rId1"/>
    <hyperlink xmlns:r="http://schemas.openxmlformats.org/officeDocument/2006/relationships" ref="D16" r:id="rId2"/>
    <hyperlink xmlns:r="http://schemas.openxmlformats.org/officeDocument/2006/relationships" ref="F16" r:id="rId3"/>
    <hyperlink xmlns:r="http://schemas.openxmlformats.org/officeDocument/2006/relationships" ref="H16" r:id="rId4"/>
    <hyperlink xmlns:r="http://schemas.openxmlformats.org/officeDocument/2006/relationships" ref="B19" r:id="rId5"/>
    <hyperlink xmlns:r="http://schemas.openxmlformats.org/officeDocument/2006/relationships" ref="D19" r:id="rId6"/>
    <hyperlink xmlns:r="http://schemas.openxmlformats.org/officeDocument/2006/relationships" ref="F19" r:id="rId7"/>
    <hyperlink xmlns:r="http://schemas.openxmlformats.org/officeDocument/2006/relationships" ref="H19" r:id="rId8"/>
    <hyperlink xmlns:r="http://schemas.openxmlformats.org/officeDocument/2006/relationships" ref="B22" r:id="rId9"/>
    <hyperlink xmlns:r="http://schemas.openxmlformats.org/officeDocument/2006/relationships" ref="D22" r:id="rId10"/>
    <hyperlink xmlns:r="http://schemas.openxmlformats.org/officeDocument/2006/relationships" ref="F22" r:id="rId11"/>
    <hyperlink xmlns:r="http://schemas.openxmlformats.org/officeDocument/2006/relationships" ref="H22" r:id="rId12"/>
    <hyperlink xmlns:r="http://schemas.openxmlformats.org/officeDocument/2006/relationships" ref="B25" r:id="rId13"/>
    <hyperlink xmlns:r="http://schemas.openxmlformats.org/officeDocument/2006/relationships" ref="D25" r:id="rId14"/>
  </hyperlinks>
  <pageMargins left="0.75" right="0.75" top="1" bottom="1" header="0.5" footer="0.5"/>
</worksheet>
</file>

<file path=xl/worksheets/sheet2.xml><?xml version="1.0" encoding="utf-8"?>
<worksheet xmlns="http://schemas.openxmlformats.org/spreadsheetml/2006/main">
  <sheetPr>
    <tabColor rgb="001F4E78"/>
    <outlinePr applyStyles="1" summaryBelow="0" summaryRight="1"/>
    <pageSetUpPr fitToPage="1"/>
  </sheetPr>
  <dimension ref="A1:N49"/>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Partner Dashboard</t>
        </is>
      </c>
    </row>
    <row r="2" ht="16" customHeight="1">
      <c r="A2" s="15" t="inlineStr">
        <is>
          <t>PASSRESS MIS   |   Home ▸ Partner Dashboard</t>
        </is>
      </c>
    </row>
    <row r="3" ht="14" customHeight="1">
      <c r="A3" s="3" t="inlineStr">
        <is>
          <t>Sheet Documentation  (use the  +  outline control at left to expand)</t>
        </is>
      </c>
    </row>
    <row r="4" hidden="1" outlineLevel="1" ht="13" customHeight="1">
      <c r="A4" s="4" t="inlineStr">
        <is>
          <t>Purpose</t>
        </is>
      </c>
      <c r="B4" s="5" t="inlineStr">
        <is>
          <t>Executive view for business partners — the headline numbers only, no operational drill-down. Simple, beautiful, minimal by design.</t>
        </is>
      </c>
    </row>
    <row r="5" hidden="1" outlineLevel="1" ht="13" customHeight="1">
      <c r="A5" s="4" t="inlineStr">
        <is>
          <t>Input tables</t>
        </is>
      </c>
      <c r="B5" s="5" t="inlineStr">
        <is>
          <t>The Data Model (dax/MEASURES.md, dax/PHASE5_MEASURES_ADDENDUM.md) via CUBEVALUE/CUBESET — no PivotTable required.</t>
        </is>
      </c>
    </row>
    <row r="6" hidden="1" outlineLevel="1" ht="13" customHeight="1">
      <c r="A6" s="4" t="inlineStr">
        <is>
          <t>Output tables</t>
        </is>
      </c>
      <c r="B6" s="5" t="inlineStr">
        <is>
          <t>5 KPI cards, one 12-month trend chart, a live Top 5 Products list, Key Insights (from BI_Insights).</t>
        </is>
      </c>
    </row>
    <row r="7" hidden="1" outlineLevel="1" ht="13" customHeight="1">
      <c r="A7" s="4" t="inlineStr">
        <is>
          <t>Relationships</t>
        </is>
      </c>
      <c r="B7" s="5" t="inlineStr">
        <is>
          <t>Reads the Data Model directly; BI_Insights supplies the insight text shown here.</t>
        </is>
      </c>
    </row>
    <row r="8" hidden="1" outlineLevel="1" ht="13" customHeight="1">
      <c r="A8" s="4" t="inlineStr">
        <is>
          <t>Future data source</t>
        </is>
      </c>
      <c r="B8" s="5" t="inlineStr">
        <is>
          <t>Already live: every number resolves once the Data Model + measures are wired — see power-query/README.md and dax/README.md. Until then, cards show 0 and the chart is flat — expected, not an error.</t>
        </is>
      </c>
    </row>
    <row r="9" hidden="1" outlineLevel="1"/>
    <row r="10" ht="6" customHeight="1"/>
    <row r="11" ht="15" customHeight="1">
      <c r="B11" s="6" t="inlineStr">
        <is>
          <t>REVENUE</t>
        </is>
      </c>
      <c r="C11" s="7" t="n"/>
      <c r="D11" s="6" t="inlineStr">
        <is>
          <t>NET PROFIT</t>
        </is>
      </c>
      <c r="E11" s="7" t="n"/>
      <c r="F11" s="6" t="inlineStr">
        <is>
          <t>MARGIN %</t>
        </is>
      </c>
      <c r="G11" s="7" t="n"/>
      <c r="H11" s="6" t="inlineStr">
        <is>
          <t>CASH POSITION</t>
        </is>
      </c>
      <c r="I11" s="7" t="n"/>
      <c r="J11" s="6" t="inlineStr">
        <is>
          <t>ORDERS</t>
        </is>
      </c>
      <c r="K11" s="7" t="n"/>
    </row>
    <row r="12" ht="22" customHeight="1">
      <c r="B12" s="16">
        <f>CUBEVALUE("ThisWorkbookDataModel","[Measures].[Net Sales]")</f>
        <v/>
      </c>
      <c r="C12" s="7" t="n"/>
      <c r="D12" s="16">
        <f>CUBEVALUE("ThisWorkbookDataModel","[Measures].[Net Profit]")</f>
        <v/>
      </c>
      <c r="E12" s="7" t="n"/>
      <c r="F12" s="17">
        <f>CUBEVALUE("ThisWorkbookDataModel","[Measures].[Gross Margin %]")</f>
        <v/>
      </c>
      <c r="G12" s="7" t="n"/>
      <c r="H12" s="16">
        <f>CUBEVALUE("ThisWorkbookDataModel","[Measures].[Cash Position (Direct, Cumulative)]")</f>
        <v/>
      </c>
      <c r="I12" s="7" t="n"/>
      <c r="J12" s="16">
        <f>CUBEVALUE("ThisWorkbookDataModel","[Measures].[Order Count]")</f>
        <v/>
      </c>
      <c r="K12" s="7" t="n"/>
    </row>
    <row r="13" ht="22" customHeight="1">
      <c r="B13" s="7" t="n"/>
      <c r="C13" s="7" t="n"/>
      <c r="D13" s="7" t="n"/>
      <c r="E13" s="7" t="n"/>
      <c r="F13" s="7" t="n"/>
      <c r="G13" s="7" t="n"/>
      <c r="H13" s="7" t="n"/>
      <c r="I13" s="7" t="n"/>
      <c r="J13" s="7" t="n"/>
      <c r="K13" s="7" t="n"/>
    </row>
    <row r="16">
      <c r="B16" s="10" t="inlineStr">
        <is>
          <t>MONTHLY TREND — NET SALES</t>
        </is>
      </c>
    </row>
    <row r="17">
      <c r="B17" s="12" t="inlineStr">
        <is>
          <t>Net Sales — trailing 12 months</t>
        </is>
      </c>
    </row>
    <row r="18">
      <c r="C18" s="18">
        <f>TEXT(EDATE(TODAY(),-11),"mmm-yy")</f>
        <v/>
      </c>
      <c r="D18" s="18">
        <f>TEXT(EDATE(TODAY(),-10),"mmm-yy")</f>
        <v/>
      </c>
      <c r="E18" s="18">
        <f>TEXT(EDATE(TODAY(),-9),"mmm-yy")</f>
        <v/>
      </c>
      <c r="F18" s="18">
        <f>TEXT(EDATE(TODAY(),-8),"mmm-yy")</f>
        <v/>
      </c>
      <c r="G18" s="18">
        <f>TEXT(EDATE(TODAY(),-7),"mmm-yy")</f>
        <v/>
      </c>
      <c r="H18" s="18">
        <f>TEXT(EDATE(TODAY(),-6),"mmm-yy")</f>
        <v/>
      </c>
      <c r="I18" s="18">
        <f>TEXT(EDATE(TODAY(),-5),"mmm-yy")</f>
        <v/>
      </c>
      <c r="J18" s="18">
        <f>TEXT(EDATE(TODAY(),-4),"mmm-yy")</f>
        <v/>
      </c>
      <c r="K18" s="18">
        <f>TEXT(EDATE(TODAY(),-3),"mmm-yy")</f>
        <v/>
      </c>
      <c r="L18" s="18">
        <f>TEXT(EDATE(TODAY(),-2),"mmm-yy")</f>
        <v/>
      </c>
      <c r="M18" s="18">
        <f>TEXT(EDATE(TODAY(),-1),"mmm-yy")</f>
        <v/>
      </c>
      <c r="N18" s="18">
        <f>TEXT(EDATE(TODAY(),0),"mmm-yy")</f>
        <v/>
      </c>
    </row>
    <row r="19">
      <c r="C19" s="19">
        <f>CUBEVALUE("ThisWorkbookDataModel","[Measures].[Net Sales]","[DIM_Date].[Year].&amp;["&amp;YEAR(EDATE(TODAY(),-11))&amp;"]","[DIM_Date].[Month].&amp;["&amp;MONTH(EDATE(TODAY(),-11))&amp;"]")</f>
        <v/>
      </c>
      <c r="D19" s="19">
        <f>CUBEVALUE("ThisWorkbookDataModel","[Measures].[Net Sales]","[DIM_Date].[Year].&amp;["&amp;YEAR(EDATE(TODAY(),-10))&amp;"]","[DIM_Date].[Month].&amp;["&amp;MONTH(EDATE(TODAY(),-10))&amp;"]")</f>
        <v/>
      </c>
      <c r="E19" s="19">
        <f>CUBEVALUE("ThisWorkbookDataModel","[Measures].[Net Sales]","[DIM_Date].[Year].&amp;["&amp;YEAR(EDATE(TODAY(),-9))&amp;"]","[DIM_Date].[Month].&amp;["&amp;MONTH(EDATE(TODAY(),-9))&amp;"]")</f>
        <v/>
      </c>
      <c r="F19" s="19">
        <f>CUBEVALUE("ThisWorkbookDataModel","[Measures].[Net Sales]","[DIM_Date].[Year].&amp;["&amp;YEAR(EDATE(TODAY(),-8))&amp;"]","[DIM_Date].[Month].&amp;["&amp;MONTH(EDATE(TODAY(),-8))&amp;"]")</f>
        <v/>
      </c>
      <c r="G19" s="19">
        <f>CUBEVALUE("ThisWorkbookDataModel","[Measures].[Net Sales]","[DIM_Date].[Year].&amp;["&amp;YEAR(EDATE(TODAY(),-7))&amp;"]","[DIM_Date].[Month].&amp;["&amp;MONTH(EDATE(TODAY(),-7))&amp;"]")</f>
        <v/>
      </c>
      <c r="H19" s="19">
        <f>CUBEVALUE("ThisWorkbookDataModel","[Measures].[Net Sales]","[DIM_Date].[Year].&amp;["&amp;YEAR(EDATE(TODAY(),-6))&amp;"]","[DIM_Date].[Month].&amp;["&amp;MONTH(EDATE(TODAY(),-6))&amp;"]")</f>
        <v/>
      </c>
      <c r="I19" s="19">
        <f>CUBEVALUE("ThisWorkbookDataModel","[Measures].[Net Sales]","[DIM_Date].[Year].&amp;["&amp;YEAR(EDATE(TODAY(),-5))&amp;"]","[DIM_Date].[Month].&amp;["&amp;MONTH(EDATE(TODAY(),-5))&amp;"]")</f>
        <v/>
      </c>
      <c r="J19" s="19">
        <f>CUBEVALUE("ThisWorkbookDataModel","[Measures].[Net Sales]","[DIM_Date].[Year].&amp;["&amp;YEAR(EDATE(TODAY(),-4))&amp;"]","[DIM_Date].[Month].&amp;["&amp;MONTH(EDATE(TODAY(),-4))&amp;"]")</f>
        <v/>
      </c>
      <c r="K19" s="19">
        <f>CUBEVALUE("ThisWorkbookDataModel","[Measures].[Net Sales]","[DIM_Date].[Year].&amp;["&amp;YEAR(EDATE(TODAY(),-3))&amp;"]","[DIM_Date].[Month].&amp;["&amp;MONTH(EDATE(TODAY(),-3))&amp;"]")</f>
        <v/>
      </c>
      <c r="L19" s="19">
        <f>CUBEVALUE("ThisWorkbookDataModel","[Measures].[Net Sales]","[DIM_Date].[Year].&amp;["&amp;YEAR(EDATE(TODAY(),-2))&amp;"]","[DIM_Date].[Month].&amp;["&amp;MONTH(EDATE(TODAY(),-2))&amp;"]")</f>
        <v/>
      </c>
      <c r="M19" s="19">
        <f>CUBEVALUE("ThisWorkbookDataModel","[Measures].[Net Sales]","[DIM_Date].[Year].&amp;["&amp;YEAR(EDATE(TODAY(),-1))&amp;"]","[DIM_Date].[Month].&amp;["&amp;MONTH(EDATE(TODAY(),-1))&amp;"]")</f>
        <v/>
      </c>
      <c r="N19" s="19">
        <f>CUBEVALUE("ThisWorkbookDataModel","[Measures].[Net Sales]","[DIM_Date].[Year].&amp;["&amp;YEAR(EDATE(TODAY(),0))&amp;"]","[DIM_Date].[Month].&amp;["&amp;MONTH(EDATE(TODAY(),0))&amp;"]")</f>
        <v/>
      </c>
    </row>
    <row r="37">
      <c r="B37" s="10" t="inlineStr">
        <is>
          <t>TOP 5 PRODUCTS  (by Net Sales)</t>
        </is>
      </c>
    </row>
    <row r="38">
      <c r="B38" s="10" t="inlineStr">
        <is>
          <t>Top 5 Products</t>
        </is>
      </c>
      <c r="F38" s="20">
        <f>CUBESET("ThisWorkbookDataModel","{[DIM_Product].[Title].Children}","Top 5 Products","BDESC","[Measures].[Net Sales]")</f>
        <v/>
      </c>
    </row>
    <row r="39">
      <c r="B39" s="21">
        <f>CUBERANKEDMEMBER("ThisWorkbookDataModel",$F$38,1)</f>
        <v/>
      </c>
      <c r="D39" s="22">
        <f>CUBEVALUE("ThisWorkbookDataModel","[Measures].[Net Sales]",CUBERANKEDMEMBER("ThisWorkbookDataModel",$F$38,1))</f>
        <v/>
      </c>
    </row>
    <row r="40">
      <c r="B40" s="21">
        <f>CUBERANKEDMEMBER("ThisWorkbookDataModel",$F$38,2)</f>
        <v/>
      </c>
      <c r="D40" s="22">
        <f>CUBEVALUE("ThisWorkbookDataModel","[Measures].[Net Sales]",CUBERANKEDMEMBER("ThisWorkbookDataModel",$F$38,2))</f>
        <v/>
      </c>
    </row>
    <row r="41">
      <c r="B41" s="21">
        <f>CUBERANKEDMEMBER("ThisWorkbookDataModel",$F$38,3)</f>
        <v/>
      </c>
      <c r="D41" s="22">
        <f>CUBEVALUE("ThisWorkbookDataModel","[Measures].[Net Sales]",CUBERANKEDMEMBER("ThisWorkbookDataModel",$F$38,3))</f>
        <v/>
      </c>
    </row>
    <row r="42">
      <c r="B42" s="21">
        <f>CUBERANKEDMEMBER("ThisWorkbookDataModel",$F$38,4)</f>
        <v/>
      </c>
      <c r="D42" s="22">
        <f>CUBEVALUE("ThisWorkbookDataModel","[Measures].[Net Sales]",CUBERANKEDMEMBER("ThisWorkbookDataModel",$F$38,4))</f>
        <v/>
      </c>
    </row>
    <row r="43">
      <c r="B43" s="21">
        <f>CUBERANKEDMEMBER("ThisWorkbookDataModel",$F$38,5)</f>
        <v/>
      </c>
      <c r="D43" s="22">
        <f>CUBEVALUE("ThisWorkbookDataModel","[Measures].[Net Sales]",CUBERANKEDMEMBER("ThisWorkbookDataModel",$F$38,5))</f>
        <v/>
      </c>
    </row>
    <row r="45">
      <c r="B45" s="10" t="inlineStr">
        <is>
          <t>KEY INSIGHTS</t>
        </is>
      </c>
    </row>
    <row r="46" ht="16" customHeight="1">
      <c r="B46" s="23">
        <f>"•  "&amp;IFERROR('BI_Insights'!D15,"(resolves once Data Model is wired)")</f>
        <v/>
      </c>
    </row>
    <row r="47" ht="16" customHeight="1">
      <c r="B47" s="23">
        <f>"•  "&amp;IFERROR('BI_Insights'!D16,"(resolves once Data Model is wired)")</f>
        <v/>
      </c>
    </row>
    <row r="48" ht="16" customHeight="1">
      <c r="B48" s="23">
        <f>"•  "&amp;IFERROR('BI_Insights'!D19,"(resolves once Data Model is wired)")</f>
        <v/>
      </c>
    </row>
    <row r="49" ht="16" customHeight="1">
      <c r="B49" s="23">
        <f>"•  "&amp;IFERROR('BI_Insights'!D20,"(resolves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22">
    <mergeCell ref="B4:L4"/>
    <mergeCell ref="F11:G11"/>
    <mergeCell ref="B49:K49"/>
    <mergeCell ref="B7:L7"/>
    <mergeCell ref="D12:E13"/>
    <mergeCell ref="A3:L3"/>
    <mergeCell ref="A2:L2"/>
    <mergeCell ref="H12:I13"/>
    <mergeCell ref="B11:C11"/>
    <mergeCell ref="J12:K13"/>
    <mergeCell ref="D11:E11"/>
    <mergeCell ref="B47:K47"/>
    <mergeCell ref="B8:L8"/>
    <mergeCell ref="H11:I11"/>
    <mergeCell ref="B46:K46"/>
    <mergeCell ref="J11:K11"/>
    <mergeCell ref="B48:K48"/>
    <mergeCell ref="B12:C13"/>
    <mergeCell ref="B6:L6"/>
    <mergeCell ref="F12:G13"/>
    <mergeCell ref="A1:L1"/>
    <mergeCell ref="B5:L5"/>
  </mergeCells>
  <hyperlinks>
    <hyperlink xmlns:r="http://schemas.openxmlformats.org/officeDocument/2006/relationships" ref="A2" r:id="rId1"/>
  </hyperlinks>
  <pageMargins left="0.3" right="0.3" top="0.4" bottom="0.4" header="0.5" footer="0.5"/>
  <pageSetup orientation="landscape" fitToHeight="0" fitToWidth="1"/>
  <drawing xmlns:r="http://schemas.openxmlformats.org/officeDocument/2006/relationships" r:id="rId2"/>
</worksheet>
</file>

<file path=xl/worksheets/sheet3.xml><?xml version="1.0" encoding="utf-8"?>
<worksheet xmlns="http://schemas.openxmlformats.org/spreadsheetml/2006/main">
  <sheetPr>
    <tabColor rgb="001F4E78"/>
    <outlinePr applyStyles="1" summaryBelow="0" summaryRight="1"/>
    <pageSetUpPr fitToPage="1"/>
  </sheetPr>
  <dimension ref="A1:L8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CEO Dashboard</t>
        </is>
      </c>
    </row>
    <row r="2" ht="16" customHeight="1">
      <c r="A2" s="15" t="inlineStr">
        <is>
          <t>PASSRESS MIS   |   Home ▸ CEO Dashboard</t>
        </is>
      </c>
    </row>
    <row r="3" ht="14" customHeight="1">
      <c r="A3" s="3" t="inlineStr">
        <is>
          <t>Sheet Documentation  (use the  +  outline control at left to expand)</t>
        </is>
      </c>
    </row>
    <row r="4" hidden="1" outlineLevel="1" ht="13" customHeight="1">
      <c r="A4" s="4" t="inlineStr">
        <is>
          <t>Purpose</t>
        </is>
      </c>
      <c r="B4" s="5" t="inlineStr">
        <is>
          <t>Management view: every KPI category, Budget/Forecast/Alerts summaries, and Business Insights — the full operational picture, unlike Partner Dashboard's deliberately minimal set.</t>
        </is>
      </c>
    </row>
    <row r="5" hidden="1" outlineLevel="1" ht="13" customHeight="1">
      <c r="A5" s="4" t="inlineStr">
        <is>
          <t>Input tables</t>
        </is>
      </c>
      <c r="B5" s="5" t="inlineStr">
        <is>
          <t>The Data Model (dax/MEASURES.md, dax/PHASE5_MEASURES_ADDENDUM.md) via CUBEVALUE; BI_Alerts, BI_Forecast, BI_Insights for their respective sections.</t>
        </is>
      </c>
    </row>
    <row r="6" hidden="1" outlineLevel="1" ht="13" customHeight="1">
      <c r="A6" s="4" t="inlineStr">
        <is>
          <t>Output tables</t>
        </is>
      </c>
      <c r="B6" s="5" t="inlineStr">
        <is>
          <t>9 KPI-card sections + Budget/Forecast/Alerts/Insights reference tables.</t>
        </is>
      </c>
    </row>
    <row r="7" hidden="1" outlineLevel="1" ht="13" customHeight="1">
      <c r="A7" s="4" t="inlineStr">
        <is>
          <t>Relationships</t>
        </is>
      </c>
      <c r="B7" s="5" t="inlineStr">
        <is>
          <t>Reads the Data Model directly for KPI cards; reads BI_Alerts/BI_Forecast/BI_Insights directly (simple cell references, not re-derived CUBE formulas) for those three sections.</t>
        </is>
      </c>
    </row>
    <row r="8" hidden="1" outlineLevel="1" ht="13" customHeight="1">
      <c r="A8" s="4" t="inlineStr">
        <is>
          <t>Future data source</t>
        </is>
      </c>
      <c r="B8" s="5" t="inlineStr">
        <is>
          <t>Already live: every number resolves once the Data Model + measures are wired — see power-query/README.md and dax/README.md.</t>
        </is>
      </c>
    </row>
    <row r="9" hidden="1" outlineLevel="1"/>
    <row r="10" ht="6" customHeight="1"/>
    <row r="11">
      <c r="B11" s="10" t="inlineStr">
        <is>
          <t>FINANCIAL KPIs</t>
        </is>
      </c>
    </row>
    <row r="12" ht="15" customHeight="1">
      <c r="B12" s="6" t="inlineStr">
        <is>
          <t>NET SALES</t>
        </is>
      </c>
      <c r="C12" s="7" t="n"/>
      <c r="D12" s="6" t="inlineStr">
        <is>
          <t>GROSS PROFIT</t>
        </is>
      </c>
      <c r="E12" s="7" t="n"/>
      <c r="F12" s="6" t="inlineStr">
        <is>
          <t>NET PROFIT</t>
        </is>
      </c>
      <c r="G12" s="7" t="n"/>
      <c r="H12" s="6" t="inlineStr">
        <is>
          <t>CASH POSITION</t>
        </is>
      </c>
      <c r="I12" s="7" t="n"/>
    </row>
    <row r="13" ht="22" customHeight="1">
      <c r="B13" s="16">
        <f>CUBEVALUE("ThisWorkbookDataModel","[Measures].[Net Sales]")</f>
        <v/>
      </c>
      <c r="C13" s="7" t="n"/>
      <c r="D13" s="16">
        <f>CUBEVALUE("ThisWorkbookDataModel","[Measures].[Gross Profit]")</f>
        <v/>
      </c>
      <c r="E13" s="7" t="n"/>
      <c r="F13" s="16">
        <f>CUBEVALUE("ThisWorkbookDataModel","[Measures].[Net Profit]")</f>
        <v/>
      </c>
      <c r="G13" s="7" t="n"/>
      <c r="H13" s="16">
        <f>CUBEVALUE("ThisWorkbookDataModel","[Measures].[Cash Position (Direct, Cumulative)]")</f>
        <v/>
      </c>
      <c r="I13" s="7" t="n"/>
    </row>
    <row r="14" ht="22" customHeight="1">
      <c r="B14" s="7" t="n"/>
      <c r="C14" s="7" t="n"/>
      <c r="D14" s="7" t="n"/>
      <c r="E14" s="7" t="n"/>
      <c r="F14" s="7" t="n"/>
      <c r="G14" s="7" t="n"/>
      <c r="H14" s="7" t="n"/>
      <c r="I14" s="7" t="n"/>
    </row>
    <row r="17">
      <c r="B17" s="10" t="inlineStr">
        <is>
          <t>SALES KPIs</t>
        </is>
      </c>
    </row>
    <row r="18" ht="15" customHeight="1">
      <c r="B18" s="6" t="inlineStr">
        <is>
          <t>ORDER COUNT</t>
        </is>
      </c>
      <c r="C18" s="7" t="n"/>
      <c r="D18" s="6" t="inlineStr">
        <is>
          <t>AVERAGE ORDER VALUE</t>
        </is>
      </c>
      <c r="E18" s="7" t="n"/>
      <c r="F18" s="6" t="inlineStr">
        <is>
          <t>UNITS SOLD</t>
        </is>
      </c>
      <c r="G18" s="7" t="n"/>
      <c r="H18" s="6" t="inlineStr">
        <is>
          <t>REVENUE GROWTH % YOY</t>
        </is>
      </c>
      <c r="I18" s="7" t="n"/>
    </row>
    <row r="19" ht="22" customHeight="1">
      <c r="B19" s="16">
        <f>CUBEVALUE("ThisWorkbookDataModel","[Measures].[Order Count]")</f>
        <v/>
      </c>
      <c r="C19" s="7" t="n"/>
      <c r="D19" s="16">
        <f>CUBEVALUE("ThisWorkbookDataModel","[Measures].[Average Order Value]")</f>
        <v/>
      </c>
      <c r="E19" s="7" t="n"/>
      <c r="F19" s="16">
        <f>CUBEVALUE("ThisWorkbookDataModel","[Measures].[Units Sold]")</f>
        <v/>
      </c>
      <c r="G19" s="7" t="n"/>
      <c r="H19" s="17">
        <f>CUBEVALUE("ThisWorkbookDataModel","[Measures].[Revenue Growth % (YoY)]")</f>
        <v/>
      </c>
      <c r="I19" s="7" t="n"/>
    </row>
    <row r="20" ht="22" customHeight="1">
      <c r="B20" s="7" t="n"/>
      <c r="C20" s="7" t="n"/>
      <c r="D20" s="7" t="n"/>
      <c r="E20" s="7" t="n"/>
      <c r="F20" s="7" t="n"/>
      <c r="G20" s="7" t="n"/>
      <c r="H20" s="7" t="n"/>
      <c r="I20" s="7" t="n"/>
    </row>
    <row r="23">
      <c r="B23" s="10" t="inlineStr">
        <is>
          <t>CUSTOMER KPIs</t>
        </is>
      </c>
    </row>
    <row r="24" ht="15" customHeight="1">
      <c r="B24" s="6" t="inlineStr">
        <is>
          <t>NEW CUSTOMERS</t>
        </is>
      </c>
      <c r="C24" s="7" t="n"/>
      <c r="D24" s="6" t="inlineStr">
        <is>
          <t>RETURNING CUSTOMERS</t>
        </is>
      </c>
      <c r="E24" s="7" t="n"/>
      <c r="F24" s="6" t="inlineStr">
        <is>
          <t>CLV (HISTORICAL)</t>
        </is>
      </c>
      <c r="G24" s="7" t="n"/>
      <c r="H24" s="6" t="inlineStr">
        <is>
          <t>RETENTION RATE (MOM)</t>
        </is>
      </c>
      <c r="I24" s="7" t="n"/>
    </row>
    <row r="25" ht="22" customHeight="1">
      <c r="B25" s="16">
        <f>CUBEVALUE("ThisWorkbookDataModel","[Measures].[New Customers]")</f>
        <v/>
      </c>
      <c r="C25" s="7" t="n"/>
      <c r="D25" s="16">
        <f>CUBEVALUE("ThisWorkbookDataModel","[Measures].[Returning Customers]")</f>
        <v/>
      </c>
      <c r="E25" s="7" t="n"/>
      <c r="F25" s="16">
        <f>CUBEVALUE("ThisWorkbookDataModel","[Measures].[Customer Lifetime Value (Historical)]")</f>
        <v/>
      </c>
      <c r="G25" s="7" t="n"/>
      <c r="H25" s="17">
        <f>CUBEVALUE("ThisWorkbookDataModel","[Measures].[Customer Retention Rate (MoM)]")</f>
        <v/>
      </c>
      <c r="I25" s="7" t="n"/>
    </row>
    <row r="26" ht="22" customHeight="1">
      <c r="B26" s="7" t="n"/>
      <c r="C26" s="7" t="n"/>
      <c r="D26" s="7" t="n"/>
      <c r="E26" s="7" t="n"/>
      <c r="F26" s="7" t="n"/>
      <c r="G26" s="7" t="n"/>
      <c r="H26" s="7" t="n"/>
      <c r="I26" s="7" t="n"/>
    </row>
    <row r="29">
      <c r="B29" s="10" t="inlineStr">
        <is>
          <t>INVENTORY KPIs</t>
        </is>
      </c>
    </row>
    <row r="30" ht="15" customHeight="1">
      <c r="B30" s="6" t="inlineStr">
        <is>
          <t>INVENTORY VALUE</t>
        </is>
      </c>
      <c r="C30" s="7" t="n"/>
      <c r="D30" s="6" t="inlineStr">
        <is>
          <t>INVENTORY TURNOVER</t>
        </is>
      </c>
      <c r="E30" s="7" t="n"/>
      <c r="F30" s="6" t="inlineStr">
        <is>
          <t>DAYS OF INVENTORY</t>
        </is>
      </c>
      <c r="G30" s="7" t="n"/>
      <c r="H30" s="6" t="inlineStr">
        <is>
          <t>SLOW MOVING SKUS</t>
        </is>
      </c>
      <c r="I30" s="7" t="n"/>
    </row>
    <row r="31" ht="22" customHeight="1">
      <c r="B31" s="16">
        <f>CUBEVALUE("ThisWorkbookDataModel","[Measures].[Inventory Value]")</f>
        <v/>
      </c>
      <c r="C31" s="7" t="n"/>
      <c r="D31" s="24">
        <f>CUBEVALUE("ThisWorkbookDataModel","[Measures].[Inventory Turnover]")</f>
        <v/>
      </c>
      <c r="E31" s="7" t="n"/>
      <c r="F31" s="25">
        <f>CUBEVALUE("ThisWorkbookDataModel","[Measures].[Days of Inventory]")</f>
        <v/>
      </c>
      <c r="G31" s="7" t="n"/>
      <c r="H31" s="25">
        <f>CUBEVALUE("ThisWorkbookDataModel","[Measures].[Slow Moving SKU Count]")</f>
        <v/>
      </c>
      <c r="I31" s="7" t="n"/>
    </row>
    <row r="32" ht="22" customHeight="1">
      <c r="B32" s="7" t="n"/>
      <c r="C32" s="7" t="n"/>
      <c r="D32" s="7" t="n"/>
      <c r="E32" s="7" t="n"/>
      <c r="F32" s="7" t="n"/>
      <c r="G32" s="7" t="n"/>
      <c r="H32" s="7" t="n"/>
      <c r="I32" s="7" t="n"/>
    </row>
    <row r="35">
      <c r="B35" s="10" t="inlineStr">
        <is>
          <t>PROFITABILITY</t>
        </is>
      </c>
    </row>
    <row r="36" ht="15" customHeight="1">
      <c r="B36" s="6" t="inlineStr">
        <is>
          <t>GROSS MARGIN %</t>
        </is>
      </c>
      <c r="C36" s="7" t="n"/>
      <c r="D36" s="6" t="inlineStr">
        <is>
          <t>NET PROFIT MARGIN %</t>
        </is>
      </c>
      <c r="E36" s="7" t="n"/>
      <c r="F36" s="6" t="inlineStr">
        <is>
          <t>BREAK-EVEN NET SALES</t>
        </is>
      </c>
      <c r="G36" s="7" t="n"/>
    </row>
    <row r="37" ht="22" customHeight="1">
      <c r="B37" s="17">
        <f>CUBEVALUE("ThisWorkbookDataModel","[Measures].[Gross Margin %]")</f>
        <v/>
      </c>
      <c r="C37" s="7" t="n"/>
      <c r="D37" s="17">
        <f>CUBEVALUE("ThisWorkbookDataModel","[Measures].[Net Profit Margin %]")</f>
        <v/>
      </c>
      <c r="E37" s="7" t="n"/>
      <c r="F37" s="16">
        <f>CUBEVALUE("ThisWorkbookDataModel","[Measures].[Break-Even Net Sales]")</f>
        <v/>
      </c>
      <c r="G37" s="7" t="n"/>
    </row>
    <row r="38" ht="22" customHeight="1">
      <c r="B38" s="7" t="n"/>
      <c r="C38" s="7" t="n"/>
      <c r="D38" s="7" t="n"/>
      <c r="E38" s="7" t="n"/>
      <c r="F38" s="7" t="n"/>
      <c r="G38" s="7" t="n"/>
    </row>
    <row r="41">
      <c r="B41" s="10" t="inlineStr">
        <is>
          <t>EXPENSE ANALYSIS</t>
        </is>
      </c>
    </row>
    <row r="42" ht="15" customHeight="1">
      <c r="B42" s="6" t="inlineStr">
        <is>
          <t>OPERATING EXPENSES</t>
        </is>
      </c>
      <c r="C42" s="7" t="n"/>
      <c r="D42" s="6" t="inlineStr">
        <is>
          <t>EXPENSE RATIO %</t>
        </is>
      </c>
      <c r="E42" s="7" t="n"/>
      <c r="F42" s="6" t="inlineStr">
        <is>
          <t>EXPENSE ACTUAL VS BUDGET</t>
        </is>
      </c>
      <c r="G42" s="7" t="n"/>
    </row>
    <row r="43" ht="22" customHeight="1">
      <c r="B43" s="16">
        <f>CUBEVALUE("ThisWorkbookDataModel","[Measures].[Operating Expenses]")</f>
        <v/>
      </c>
      <c r="C43" s="7" t="n"/>
      <c r="D43" s="17">
        <f>CUBEVALUE("ThisWorkbookDataModel","[Measures].[Operating Expense Ratio %]")</f>
        <v/>
      </c>
      <c r="E43" s="7" t="n"/>
      <c r="F43" s="16">
        <f>CUBEVALUE("ThisWorkbookDataModel","[Measures].[Expense Actual vs Budget]")</f>
        <v/>
      </c>
      <c r="G43" s="7" t="n"/>
    </row>
    <row r="44" ht="22" customHeight="1">
      <c r="B44" s="7" t="n"/>
      <c r="C44" s="7" t="n"/>
      <c r="D44" s="7" t="n"/>
      <c r="E44" s="7" t="n"/>
      <c r="F44" s="7" t="n"/>
      <c r="G44" s="7" t="n"/>
    </row>
    <row r="47">
      <c r="B47" s="10" t="inlineStr">
        <is>
          <t>BUDGET  (Actual vs Budget, current period)</t>
        </is>
      </c>
    </row>
    <row r="48">
      <c r="B48" s="26" t="inlineStr">
        <is>
          <t>Category</t>
        </is>
      </c>
      <c r="C48" s="26" t="inlineStr">
        <is>
          <t>Actual</t>
        </is>
      </c>
      <c r="D48" s="26" t="inlineStr">
        <is>
          <t>Budget</t>
        </is>
      </c>
      <c r="E48" s="26" t="inlineStr">
        <is>
          <t>Variance</t>
        </is>
      </c>
    </row>
    <row r="49">
      <c r="B49" s="27" t="inlineStr">
        <is>
          <t>Revenue</t>
        </is>
      </c>
      <c r="C49" s="28">
        <f>CUBEVALUE("ThisWorkbookDataModel","[Measures].[Net Sales]")</f>
        <v/>
      </c>
      <c r="D49" s="28">
        <f>CUBEVALUE("ThisWorkbookDataModel","[Measures].[Revenue Budget (Period)]")</f>
        <v/>
      </c>
      <c r="E49" s="28">
        <f>CUBEVALUE("ThisWorkbookDataModel","[Measures].[Revenue Actual vs Budget]")</f>
        <v/>
      </c>
    </row>
    <row r="50">
      <c r="B50" s="27" t="inlineStr">
        <is>
          <t>Expense</t>
        </is>
      </c>
      <c r="C50" s="28">
        <f>CUBEVALUE("ThisWorkbookDataModel","[Measures].[Operating Expenses]")</f>
        <v/>
      </c>
      <c r="D50" s="28">
        <f>CUBEVALUE("ThisWorkbookDataModel","[Measures].[Expense Budget (Period)]")</f>
        <v/>
      </c>
      <c r="E50" s="28">
        <f>CUBEVALUE("ThisWorkbookDataModel","[Measures].[Expense Actual vs Budget]")</f>
        <v/>
      </c>
    </row>
    <row r="51">
      <c r="B51" s="27" t="inlineStr">
        <is>
          <t>Purchasing</t>
        </is>
      </c>
      <c r="C51" s="28">
        <f>CUBEVALUE("ThisWorkbookDataModel","[Measures].[Cash Paid for Purchases]")</f>
        <v/>
      </c>
      <c r="D51" s="28">
        <f>CUBEVALUE("ThisWorkbookDataModel","[Measures].[Purchasing Budget (Period)]")</f>
        <v/>
      </c>
      <c r="E51" s="28">
        <f>CUBEVALUE("ThisWorkbookDataModel","[Measures].[Purchasing Actual vs Budget]")</f>
        <v/>
      </c>
    </row>
    <row r="52">
      <c r="B52" s="27" t="inlineStr">
        <is>
          <t>Profit</t>
        </is>
      </c>
      <c r="C52" s="28">
        <f>CUBEVALUE("ThisWorkbookDataModel","[Measures].[Net Profit]")</f>
        <v/>
      </c>
      <c r="D52" s="28">
        <f>CUBEVALUE("ThisWorkbookDataModel","[Measures].[Profit Budget (Period)]")</f>
        <v/>
      </c>
      <c r="E52" s="28">
        <f>CUBEVALUE("ThisWorkbookDataModel","[Measures].[Profit Actual vs Budget]")</f>
        <v/>
      </c>
    </row>
    <row r="54">
      <c r="B54" s="10" t="inlineStr">
        <is>
          <t>FORECAST  (next period, rolling linear trend — see BI_Forecast)</t>
        </is>
      </c>
    </row>
    <row r="55">
      <c r="B55" s="26" t="inlineStr">
        <is>
          <t>Metric</t>
        </is>
      </c>
      <c r="C55" s="26" t="inlineStr">
        <is>
          <t>Forecast (Next Month)</t>
        </is>
      </c>
    </row>
    <row r="56">
      <c r="B56" s="21" t="inlineStr">
        <is>
          <t>Sales</t>
        </is>
      </c>
      <c r="C56" s="22">
        <f>'BI_Forecast'!E37</f>
        <v/>
      </c>
    </row>
    <row r="57">
      <c r="B57" s="21" t="inlineStr">
        <is>
          <t>Expenses</t>
        </is>
      </c>
      <c r="C57" s="22">
        <f>'BI_Forecast'!E38</f>
        <v/>
      </c>
    </row>
    <row r="58">
      <c r="B58" s="21" t="inlineStr">
        <is>
          <t>Profit</t>
        </is>
      </c>
      <c r="C58" s="22">
        <f>'BI_Forecast'!E39</f>
        <v/>
      </c>
    </row>
    <row r="59">
      <c r="B59" s="21" t="inlineStr">
        <is>
          <t>Inventory</t>
        </is>
      </c>
      <c r="C59" s="22">
        <f>'BI_Forecast'!E40</f>
        <v/>
      </c>
    </row>
    <row r="60">
      <c r="B60" s="21" t="inlineStr">
        <is>
          <t>Cash</t>
        </is>
      </c>
      <c r="C60" s="22">
        <f>'BI_Forecast'!E41</f>
        <v/>
      </c>
    </row>
    <row r="62">
      <c r="B62" s="10" t="inlineStr">
        <is>
          <t>ALERTS  (see 14_Data_Quality and BI_Alerts for full detail)</t>
        </is>
      </c>
    </row>
    <row r="63">
      <c r="B63" s="26" t="inlineStr">
        <is>
          <t>Alert</t>
        </is>
      </c>
      <c r="C63" s="26" t="inlineStr">
        <is>
          <t>Status</t>
        </is>
      </c>
      <c r="D63" s="26" t="inlineStr">
        <is>
          <t>Severity</t>
        </is>
      </c>
    </row>
    <row r="64">
      <c r="B64" s="21">
        <f>'BI_Alerts'!B15</f>
        <v/>
      </c>
      <c r="C64" s="21">
        <f>'BI_Alerts'!E15</f>
        <v/>
      </c>
      <c r="D64" s="21">
        <f>'BI_Alerts'!F15</f>
        <v/>
      </c>
    </row>
    <row r="65">
      <c r="B65" s="21">
        <f>'BI_Alerts'!B16</f>
        <v/>
      </c>
      <c r="C65" s="21">
        <f>'BI_Alerts'!E16</f>
        <v/>
      </c>
      <c r="D65" s="21">
        <f>'BI_Alerts'!F16</f>
        <v/>
      </c>
    </row>
    <row r="66">
      <c r="B66" s="21">
        <f>'BI_Alerts'!B17</f>
        <v/>
      </c>
      <c r="C66" s="21">
        <f>'BI_Alerts'!E17</f>
        <v/>
      </c>
      <c r="D66" s="21">
        <f>'BI_Alerts'!F17</f>
        <v/>
      </c>
    </row>
    <row r="67">
      <c r="B67" s="21">
        <f>'BI_Alerts'!B18</f>
        <v/>
      </c>
      <c r="C67" s="21">
        <f>'BI_Alerts'!E18</f>
        <v/>
      </c>
      <c r="D67" s="21">
        <f>'BI_Alerts'!F18</f>
        <v/>
      </c>
    </row>
    <row r="68">
      <c r="B68" s="21">
        <f>'BI_Alerts'!B19</f>
        <v/>
      </c>
      <c r="C68" s="21">
        <f>'BI_Alerts'!E19</f>
        <v/>
      </c>
      <c r="D68" s="21">
        <f>'BI_Alerts'!F19</f>
        <v/>
      </c>
    </row>
    <row r="69">
      <c r="B69" s="21">
        <f>'BI_Alerts'!B20</f>
        <v/>
      </c>
      <c r="C69" s="21">
        <f>'BI_Alerts'!E20</f>
        <v/>
      </c>
      <c r="D69" s="21">
        <f>'BI_Alerts'!F20</f>
        <v/>
      </c>
    </row>
    <row r="70">
      <c r="B70" s="21">
        <f>'BI_Alerts'!B21</f>
        <v/>
      </c>
      <c r="C70" s="21">
        <f>'BI_Alerts'!E21</f>
        <v/>
      </c>
      <c r="D70" s="21">
        <f>'BI_Alerts'!F21</f>
        <v/>
      </c>
    </row>
    <row r="71">
      <c r="B71" s="21">
        <f>'BI_Alerts'!B22</f>
        <v/>
      </c>
      <c r="C71" s="21">
        <f>'BI_Alerts'!E22</f>
        <v/>
      </c>
      <c r="D71" s="21">
        <f>'BI_Alerts'!F22</f>
        <v/>
      </c>
    </row>
    <row r="72">
      <c r="B72" s="21">
        <f>'BI_Alerts'!B23</f>
        <v/>
      </c>
      <c r="C72" s="21">
        <f>'BI_Alerts'!E23</f>
        <v/>
      </c>
      <c r="D72" s="21">
        <f>'BI_Alerts'!F23</f>
        <v/>
      </c>
    </row>
    <row r="73">
      <c r="B73" s="21">
        <f>'BI_Alerts'!B24</f>
        <v/>
      </c>
      <c r="C73" s="21">
        <f>'BI_Alerts'!E24</f>
        <v/>
      </c>
      <c r="D73" s="21">
        <f>'BI_Alerts'!F24</f>
        <v/>
      </c>
    </row>
    <row r="74">
      <c r="B74" s="21">
        <f>'BI_Alerts'!B25</f>
        <v/>
      </c>
      <c r="C74" s="21">
        <f>'BI_Alerts'!E25</f>
        <v/>
      </c>
      <c r="D74" s="21">
        <f>'BI_Alerts'!F25</f>
        <v/>
      </c>
    </row>
    <row r="75">
      <c r="B75" s="21">
        <f>'BI_Alerts'!B26</f>
        <v/>
      </c>
      <c r="C75" s="21">
        <f>'BI_Alerts'!E26</f>
        <v/>
      </c>
      <c r="D75" s="21">
        <f>'BI_Alerts'!F26</f>
        <v/>
      </c>
    </row>
    <row r="77">
      <c r="B77" s="10" t="inlineStr">
        <is>
          <t>BUSINESS INSIGHTS</t>
        </is>
      </c>
    </row>
    <row r="78" ht="16" customHeight="1">
      <c r="B78" s="23">
        <f>"•  "&amp;IFERROR('BI_Insights'!D15,"(resolves once Data Model is wired)")</f>
        <v/>
      </c>
    </row>
    <row r="79" ht="16" customHeight="1">
      <c r="B79" s="23">
        <f>"•  "&amp;IFERROR('BI_Insights'!D16,"(resolves once Data Model is wired)")</f>
        <v/>
      </c>
    </row>
    <row r="80" ht="16" customHeight="1">
      <c r="B80" s="23">
        <f>"•  "&amp;IFERROR('BI_Insights'!D17,"(resolves once Data Model is wired)")</f>
        <v/>
      </c>
    </row>
    <row r="81" ht="16" customHeight="1">
      <c r="B81" s="23">
        <f>"•  "&amp;IFERROR('BI_Insights'!D18,"(resolves once Data Model is wired)")</f>
        <v/>
      </c>
    </row>
    <row r="82" ht="16" customHeight="1">
      <c r="B82" s="23">
        <f>"•  "&amp;IFERROR('BI_Insights'!D19,"(resolves once Data Model is wired)")</f>
        <v/>
      </c>
    </row>
    <row r="83" ht="16" customHeight="1">
      <c r="B83" s="23">
        <f>"•  "&amp;IFERROR('BI_Insights'!D20,"(resolves once Data Model is wired)")</f>
        <v/>
      </c>
    </row>
    <row r="84" ht="16" customHeight="1">
      <c r="B84" s="23">
        <f>"•  "&amp;IFERROR('BI_Insights'!D21,"(resolves once Data Model is wired)")</f>
        <v/>
      </c>
    </row>
    <row r="85" ht="16" customHeight="1">
      <c r="B85" s="23">
        <f>"•  "&amp;IFERROR('BI_Insights'!D22,"(resolves once Data Model is wired)")</f>
        <v/>
      </c>
    </row>
  </sheetData>
  <sheetProtection selectLockedCells="0" selectUnlockedCells="0" sheet="1" objects="0" insertRows="0" insertHyperlinks="1" autoFilter="1" scenarios="0" formatColumns="0" deleteColumns="0" insertColumns="0" pivotTables="0" deleteRows="0" formatCells="0" formatRows="0" sort="1" password="C24F"/>
  <mergeCells count="60">
    <mergeCell ref="B4:L4"/>
    <mergeCell ref="B13:C14"/>
    <mergeCell ref="B84:K84"/>
    <mergeCell ref="B7:L7"/>
    <mergeCell ref="B19:C20"/>
    <mergeCell ref="B37:C38"/>
    <mergeCell ref="B83:K83"/>
    <mergeCell ref="F31:G32"/>
    <mergeCell ref="H19:I20"/>
    <mergeCell ref="B18:C18"/>
    <mergeCell ref="A3:L3"/>
    <mergeCell ref="F13:G14"/>
    <mergeCell ref="D36:E36"/>
    <mergeCell ref="H13:I14"/>
    <mergeCell ref="B80:K80"/>
    <mergeCell ref="B12:C12"/>
    <mergeCell ref="D43:E44"/>
    <mergeCell ref="A2:L2"/>
    <mergeCell ref="D25:E26"/>
    <mergeCell ref="F12:G12"/>
    <mergeCell ref="F24:G24"/>
    <mergeCell ref="F30:G30"/>
    <mergeCell ref="D37:E38"/>
    <mergeCell ref="F37:G38"/>
    <mergeCell ref="F43:G44"/>
    <mergeCell ref="B79:K79"/>
    <mergeCell ref="B85:K85"/>
    <mergeCell ref="F18:G18"/>
    <mergeCell ref="B42:C42"/>
    <mergeCell ref="F36:G36"/>
    <mergeCell ref="F42:G42"/>
    <mergeCell ref="B81:K81"/>
    <mergeCell ref="D19:E20"/>
    <mergeCell ref="F19:G20"/>
    <mergeCell ref="B8:L8"/>
    <mergeCell ref="D31:E32"/>
    <mergeCell ref="B25:C26"/>
    <mergeCell ref="B31:C32"/>
    <mergeCell ref="H25:I26"/>
    <mergeCell ref="D18:E18"/>
    <mergeCell ref="D12:E12"/>
    <mergeCell ref="B43:C44"/>
    <mergeCell ref="F25:G26"/>
    <mergeCell ref="H12:I12"/>
    <mergeCell ref="B24:C24"/>
    <mergeCell ref="B30:C30"/>
    <mergeCell ref="D24:E24"/>
    <mergeCell ref="B6:L6"/>
    <mergeCell ref="D30:E30"/>
    <mergeCell ref="D42:E42"/>
    <mergeCell ref="H24:I24"/>
    <mergeCell ref="A1:L1"/>
    <mergeCell ref="H18:I18"/>
    <mergeCell ref="B82:K82"/>
    <mergeCell ref="B5:L5"/>
    <mergeCell ref="H31:I32"/>
    <mergeCell ref="B36:C36"/>
    <mergeCell ref="B78:K78"/>
    <mergeCell ref="H30:I30"/>
    <mergeCell ref="D13:E14"/>
  </mergeCells>
  <hyperlinks>
    <hyperlink xmlns:r="http://schemas.openxmlformats.org/officeDocument/2006/relationships" ref="A2" r:id="rId1"/>
  </hyperlinks>
  <pageMargins left="0.3" right="0.3" top="0.4" bottom="0.4" header="0.5" footer="0.5"/>
  <pageSetup orientation="landscape" fitToHeight="0" fitToWidth="1"/>
</worksheet>
</file>

<file path=xl/worksheets/sheet4.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Sales</t>
        </is>
      </c>
    </row>
    <row r="2" ht="16" customHeight="1">
      <c r="A2" s="15" t="inlineStr">
        <is>
          <t>PASSRESS MIS   |   Home ▸ Sales</t>
        </is>
      </c>
    </row>
    <row r="3" ht="14" customHeight="1">
      <c r="A3" s="3" t="inlineStr">
        <is>
          <t>Sheet Documentation  (use the  +  outline control at left to expand)</t>
        </is>
      </c>
    </row>
    <row r="4" hidden="1" outlineLevel="1" ht="13" customHeight="1">
      <c r="A4" s="4" t="inlineStr">
        <is>
          <t>Purpose</t>
        </is>
      </c>
      <c r="B4" s="5" t="inlineStr">
        <is>
          <t>Sales performance detail — orders, revenue, discounts, and returns by period, product, and channel.</t>
        </is>
      </c>
    </row>
    <row r="5" hidden="1" outlineLevel="1" ht="13" customHeight="1">
      <c r="A5" s="4" t="inlineStr">
        <is>
          <t>Input tables</t>
        </is>
      </c>
      <c r="B5" s="5" t="inlineStr">
        <is>
          <t>FACT_OrderLines, FACT_Refunds, DIM_Date, DIM_Product, DIM_Collection.</t>
        </is>
      </c>
    </row>
    <row r="6" hidden="1" outlineLevel="1" ht="13" customHeight="1">
      <c r="A6" s="4" t="inlineStr">
        <is>
          <t>Output tables</t>
        </is>
      </c>
      <c r="B6" s="5" t="inlineStr">
        <is>
          <t>Sales KPI row, Sales-by-Date / Sales-by-Product / Sales-by-Collection pivots, order list.</t>
        </is>
      </c>
    </row>
    <row r="7" hidden="1" outlineLevel="1" ht="13" customHeight="1">
      <c r="A7" s="4" t="inlineStr">
        <is>
          <t>Relationships</t>
        </is>
      </c>
      <c r="B7" s="5" t="inlineStr">
        <is>
          <t>FACT_OrderLines links to DIM_Date/DIM_Product/DIM_Collection; FACT_Refunds links to FACT_OrderLines.</t>
        </is>
      </c>
    </row>
    <row r="8" hidden="1" outlineLevel="1" ht="13" customHeight="1">
      <c r="A8" s="4" t="inlineStr">
        <is>
          <t>Future data source</t>
        </is>
      </c>
      <c r="B8" s="5" t="inlineStr">
        <is>
          <t>RAW_Orders / RAW_OrderLines via Power Query — Phase 2.</t>
        </is>
      </c>
    </row>
    <row r="9" hidden="1" outlineLevel="1"/>
    <row r="10" ht="6" customHeight="1"/>
    <row r="11" ht="15" customHeight="1">
      <c r="B11" s="6" t="inlineStr">
        <is>
          <t>GROSS SALES</t>
        </is>
      </c>
      <c r="C11" s="7" t="n"/>
      <c r="D11" s="6" t="inlineStr">
        <is>
          <t>DISCOUNTS</t>
        </is>
      </c>
      <c r="E11" s="7" t="n"/>
      <c r="F11" s="6" t="inlineStr">
        <is>
          <t>RETURNS</t>
        </is>
      </c>
      <c r="G11" s="7" t="n"/>
      <c r="H11" s="6" t="inlineStr">
        <is>
          <t>NET SALES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29" t="inlineStr">
        <is>
          <t>[ Sales Trend (Chart)  —  Placeholder, built in Phase 4 ]</t>
        </is>
      </c>
      <c r="C17" s="30" t="n"/>
      <c r="D17" s="30" t="n"/>
      <c r="E17" s="30" t="n"/>
      <c r="F17" s="30" t="n"/>
      <c r="G17" s="30" t="n"/>
      <c r="H17" s="30" t="n"/>
      <c r="I17" s="30" t="n"/>
      <c r="J17" s="30" t="n"/>
      <c r="K17" s="30" t="n"/>
    </row>
    <row r="18">
      <c r="B18" s="30" t="n"/>
      <c r="C18" s="30" t="n"/>
      <c r="D18" s="30" t="n"/>
      <c r="E18" s="30" t="n"/>
      <c r="F18" s="30" t="n"/>
      <c r="G18" s="30" t="n"/>
      <c r="H18" s="30" t="n"/>
      <c r="I18" s="30" t="n"/>
      <c r="J18" s="30" t="n"/>
      <c r="K18" s="30" t="n"/>
    </row>
    <row r="19">
      <c r="B19" s="30" t="n"/>
      <c r="C19" s="30" t="n"/>
      <c r="D19" s="30" t="n"/>
      <c r="E19" s="30" t="n"/>
      <c r="F19" s="30" t="n"/>
      <c r="G19" s="30" t="n"/>
      <c r="H19" s="30" t="n"/>
      <c r="I19" s="30" t="n"/>
      <c r="J19" s="30" t="n"/>
      <c r="K19" s="30" t="n"/>
    </row>
    <row r="20">
      <c r="B20" s="30" t="n"/>
      <c r="C20" s="30" t="n"/>
      <c r="D20" s="30" t="n"/>
      <c r="E20" s="30" t="n"/>
      <c r="F20" s="30" t="n"/>
      <c r="G20" s="30" t="n"/>
      <c r="H20" s="30" t="n"/>
      <c r="I20" s="30" t="n"/>
      <c r="J20" s="30" t="n"/>
      <c r="K20" s="30" t="n"/>
    </row>
    <row r="21">
      <c r="B21" s="30" t="n"/>
      <c r="C21" s="30" t="n"/>
      <c r="D21" s="30" t="n"/>
      <c r="E21" s="30" t="n"/>
      <c r="F21" s="30" t="n"/>
      <c r="G21" s="30" t="n"/>
      <c r="H21" s="30" t="n"/>
      <c r="I21" s="30" t="n"/>
      <c r="J21" s="30" t="n"/>
      <c r="K21" s="30" t="n"/>
    </row>
    <row r="22">
      <c r="B22" s="30" t="n"/>
      <c r="C22" s="30" t="n"/>
      <c r="D22" s="30" t="n"/>
      <c r="E22" s="30" t="n"/>
      <c r="F22" s="30" t="n"/>
      <c r="G22" s="30" t="n"/>
      <c r="H22" s="30" t="n"/>
      <c r="I22" s="30" t="n"/>
      <c r="J22" s="30" t="n"/>
      <c r="K22" s="30" t="n"/>
    </row>
    <row r="23">
      <c r="B23" s="30" t="n"/>
      <c r="C23" s="30" t="n"/>
      <c r="D23" s="30" t="n"/>
      <c r="E23" s="30" t="n"/>
      <c r="F23" s="30" t="n"/>
      <c r="G23" s="30" t="n"/>
      <c r="H23" s="30" t="n"/>
      <c r="I23" s="30" t="n"/>
      <c r="J23" s="30" t="n"/>
      <c r="K23" s="30" t="n"/>
    </row>
    <row r="24">
      <c r="B24" s="30" t="n"/>
      <c r="C24" s="30" t="n"/>
      <c r="D24" s="30" t="n"/>
      <c r="E24" s="30" t="n"/>
      <c r="F24" s="30" t="n"/>
      <c r="G24" s="30" t="n"/>
      <c r="H24" s="30" t="n"/>
      <c r="I24" s="30" t="n"/>
      <c r="J24" s="30" t="n"/>
      <c r="K24" s="30" t="n"/>
    </row>
    <row r="27">
      <c r="B27" s="10" t="inlineStr">
        <is>
          <t>DETAIL (PIVOTTABLES)</t>
        </is>
      </c>
    </row>
    <row r="28">
      <c r="B28" s="29" t="inlineStr">
        <is>
          <t>[ Sales by Date (PivotTable)  —  Placeholder, built in Phase 4 ]</t>
        </is>
      </c>
      <c r="C28" s="30" t="n"/>
      <c r="D28" s="30" t="n"/>
      <c r="E28" s="30" t="n"/>
      <c r="F28" s="30" t="n"/>
      <c r="G28" s="29" t="inlineStr">
        <is>
          <t>[ Sales by Product (PivotTable)  —  Placeholder, built in Phase 4 ]</t>
        </is>
      </c>
      <c r="H28" s="30" t="n"/>
      <c r="I28" s="30" t="n"/>
      <c r="J28" s="30" t="n"/>
      <c r="K28" s="30" t="n"/>
    </row>
    <row r="29">
      <c r="B29" s="30" t="n"/>
      <c r="C29" s="30" t="n"/>
      <c r="D29" s="30" t="n"/>
      <c r="E29" s="30" t="n"/>
      <c r="F29" s="30" t="n"/>
      <c r="G29" s="30" t="n"/>
      <c r="H29" s="30" t="n"/>
      <c r="I29" s="30" t="n"/>
      <c r="J29" s="30" t="n"/>
      <c r="K29" s="30" t="n"/>
    </row>
    <row r="30">
      <c r="B30" s="30" t="n"/>
      <c r="C30" s="30" t="n"/>
      <c r="D30" s="30" t="n"/>
      <c r="E30" s="30" t="n"/>
      <c r="F30" s="30" t="n"/>
      <c r="G30" s="30" t="n"/>
      <c r="H30" s="30" t="n"/>
      <c r="I30" s="30" t="n"/>
      <c r="J30" s="30" t="n"/>
      <c r="K30" s="30" t="n"/>
    </row>
    <row r="31">
      <c r="B31" s="30" t="n"/>
      <c r="C31" s="30" t="n"/>
      <c r="D31" s="30" t="n"/>
      <c r="E31" s="30" t="n"/>
      <c r="F31" s="30" t="n"/>
      <c r="G31" s="30" t="n"/>
      <c r="H31" s="30" t="n"/>
      <c r="I31" s="30" t="n"/>
      <c r="J31" s="30" t="n"/>
      <c r="K31" s="30" t="n"/>
    </row>
    <row r="32">
      <c r="B32" s="30" t="n"/>
      <c r="C32" s="30" t="n"/>
      <c r="D32" s="30" t="n"/>
      <c r="E32" s="30" t="n"/>
      <c r="F32" s="30" t="n"/>
      <c r="G32" s="30" t="n"/>
      <c r="H32" s="30" t="n"/>
      <c r="I32" s="30" t="n"/>
      <c r="J32" s="30" t="n"/>
      <c r="K32" s="30" t="n"/>
    </row>
    <row r="33">
      <c r="B33" s="30" t="n"/>
      <c r="C33" s="30" t="n"/>
      <c r="D33" s="30" t="n"/>
      <c r="E33" s="30" t="n"/>
      <c r="F33" s="30" t="n"/>
      <c r="G33" s="30" t="n"/>
      <c r="H33" s="30" t="n"/>
      <c r="I33" s="30" t="n"/>
      <c r="J33" s="30" t="n"/>
      <c r="K33" s="30" t="n"/>
    </row>
    <row r="34">
      <c r="B34" s="30" t="n"/>
      <c r="C34" s="30" t="n"/>
      <c r="D34" s="30" t="n"/>
      <c r="E34" s="30" t="n"/>
      <c r="F34" s="30" t="n"/>
      <c r="G34" s="30" t="n"/>
      <c r="H34" s="30" t="n"/>
      <c r="I34" s="30" t="n"/>
      <c r="J34" s="30" t="n"/>
      <c r="K34" s="30" t="n"/>
    </row>
    <row r="35">
      <c r="B35" s="30" t="n"/>
      <c r="C35" s="30" t="n"/>
      <c r="D35" s="30" t="n"/>
      <c r="E35" s="30" t="n"/>
      <c r="F35" s="30" t="n"/>
      <c r="G35" s="30" t="n"/>
      <c r="H35" s="30" t="n"/>
      <c r="I35" s="30" t="n"/>
      <c r="J35" s="30" t="n"/>
      <c r="K35" s="30" t="n"/>
    </row>
    <row r="36">
      <c r="B36" s="30" t="n"/>
      <c r="C36" s="30" t="n"/>
      <c r="D36" s="30" t="n"/>
      <c r="E36" s="30" t="n"/>
      <c r="F36" s="30" t="n"/>
      <c r="G36" s="30" t="n"/>
      <c r="H36" s="30" t="n"/>
      <c r="I36" s="30" t="n"/>
      <c r="J36" s="30" t="n"/>
      <c r="K36" s="30" t="n"/>
    </row>
    <row r="37">
      <c r="B37" s="30" t="n"/>
      <c r="C37" s="30" t="n"/>
      <c r="D37" s="30" t="n"/>
      <c r="E37" s="30" t="n"/>
      <c r="F37" s="30" t="n"/>
      <c r="G37" s="30" t="n"/>
      <c r="H37" s="30" t="n"/>
      <c r="I37" s="30" t="n"/>
      <c r="J37" s="30" t="n"/>
      <c r="K37" s="30" t="n"/>
    </row>
    <row r="39">
      <c r="B39" s="29" t="inlineStr">
        <is>
          <t>[ Sales by Collection (PivotTable)  —  Placeholder, built in Phase 4 ]</t>
        </is>
      </c>
      <c r="C39" s="30" t="n"/>
      <c r="D39" s="30" t="n"/>
      <c r="E39" s="30" t="n"/>
      <c r="F39" s="30" t="n"/>
      <c r="G39" s="29" t="inlineStr">
        <is>
          <t>[ Order List (Table)  —  Placeholder, built in Phase 4 ]</t>
        </is>
      </c>
      <c r="H39" s="30" t="n"/>
      <c r="I39" s="30" t="n"/>
      <c r="J39" s="30" t="n"/>
      <c r="K39" s="30" t="n"/>
    </row>
    <row r="40">
      <c r="B40" s="30" t="n"/>
      <c r="C40" s="30" t="n"/>
      <c r="D40" s="30" t="n"/>
      <c r="E40" s="30" t="n"/>
      <c r="F40" s="30" t="n"/>
      <c r="G40" s="30" t="n"/>
      <c r="H40" s="30" t="n"/>
      <c r="I40" s="30" t="n"/>
      <c r="J40" s="30" t="n"/>
      <c r="K40" s="30" t="n"/>
    </row>
    <row r="41">
      <c r="B41" s="30" t="n"/>
      <c r="C41" s="30" t="n"/>
      <c r="D41" s="30" t="n"/>
      <c r="E41" s="30" t="n"/>
      <c r="F41" s="30" t="n"/>
      <c r="G41" s="30" t="n"/>
      <c r="H41" s="30" t="n"/>
      <c r="I41" s="30" t="n"/>
      <c r="J41" s="30" t="n"/>
      <c r="K41" s="30" t="n"/>
    </row>
    <row r="42">
      <c r="B42" s="30" t="n"/>
      <c r="C42" s="30" t="n"/>
      <c r="D42" s="30" t="n"/>
      <c r="E42" s="30" t="n"/>
      <c r="F42" s="30" t="n"/>
      <c r="G42" s="30" t="n"/>
      <c r="H42" s="30" t="n"/>
      <c r="I42" s="30" t="n"/>
      <c r="J42" s="30" t="n"/>
      <c r="K42" s="30" t="n"/>
    </row>
    <row r="43">
      <c r="B43" s="30" t="n"/>
      <c r="C43" s="30" t="n"/>
      <c r="D43" s="30" t="n"/>
      <c r="E43" s="30" t="n"/>
      <c r="F43" s="30" t="n"/>
      <c r="G43" s="30" t="n"/>
      <c r="H43" s="30" t="n"/>
      <c r="I43" s="30" t="n"/>
      <c r="J43" s="30" t="n"/>
      <c r="K43" s="30" t="n"/>
    </row>
    <row r="44">
      <c r="B44" s="30" t="n"/>
      <c r="C44" s="30" t="n"/>
      <c r="D44" s="30" t="n"/>
      <c r="E44" s="30" t="n"/>
      <c r="F44" s="30" t="n"/>
      <c r="G44" s="30" t="n"/>
      <c r="H44" s="30" t="n"/>
      <c r="I44" s="30" t="n"/>
      <c r="J44" s="30" t="n"/>
      <c r="K44" s="30" t="n"/>
    </row>
    <row r="45">
      <c r="B45" s="30" t="n"/>
      <c r="C45" s="30" t="n"/>
      <c r="D45" s="30" t="n"/>
      <c r="E45" s="30" t="n"/>
      <c r="F45" s="30" t="n"/>
      <c r="G45" s="30" t="n"/>
      <c r="H45" s="30" t="n"/>
      <c r="I45" s="30" t="n"/>
      <c r="J45" s="30" t="n"/>
      <c r="K45" s="30" t="n"/>
    </row>
    <row r="46">
      <c r="B46" s="30" t="n"/>
      <c r="C46" s="30" t="n"/>
      <c r="D46" s="30" t="n"/>
      <c r="E46" s="30" t="n"/>
      <c r="F46" s="30" t="n"/>
      <c r="G46" s="30" t="n"/>
      <c r="H46" s="30" t="n"/>
      <c r="I46" s="30" t="n"/>
      <c r="J46" s="30" t="n"/>
      <c r="K46" s="30" t="n"/>
    </row>
    <row r="47">
      <c r="B47" s="30" t="n"/>
      <c r="C47" s="30" t="n"/>
      <c r="D47" s="30" t="n"/>
      <c r="E47" s="30" t="n"/>
      <c r="F47" s="30" t="n"/>
      <c r="G47" s="30" t="n"/>
      <c r="H47" s="30" t="n"/>
      <c r="I47" s="30" t="n"/>
      <c r="J47" s="30" t="n"/>
      <c r="K47" s="30" t="n"/>
    </row>
    <row r="48">
      <c r="B48" s="30" t="n"/>
      <c r="C48" s="30" t="n"/>
      <c r="D48" s="30" t="n"/>
      <c r="E48" s="30" t="n"/>
      <c r="F48" s="30" t="n"/>
      <c r="G48" s="30" t="n"/>
      <c r="H48" s="30" t="n"/>
      <c r="I48" s="30" t="n"/>
      <c r="J48" s="30" t="n"/>
      <c r="K48" s="30" t="n"/>
    </row>
  </sheetData>
  <sheetProtection selectLockedCells="0" selectUnlockedCells="0" sheet="1" objects="0" insertRows="0" insertHyperlinks="1" autoFilter="1" scenarios="0" formatColumns="0" deleteColumns="0" insertColumns="0" pivotTables="0" deleteRows="0" formatCells="0" formatRows="0" sort="1" password="C24F"/>
  <mergeCells count="21">
    <mergeCell ref="B4:L4"/>
    <mergeCell ref="F11:G11"/>
    <mergeCell ref="B7:L7"/>
    <mergeCell ref="D12:E13"/>
    <mergeCell ref="G39:K48"/>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tabColor rgb="00404040"/>
    <outlinePr applyStyles="1" summaryBelow="0" summaryRight="1"/>
    <pageSetUpPr/>
  </sheetPr>
  <dimension ref="A1:S4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Products</t>
        </is>
      </c>
    </row>
    <row r="2" ht="16" customHeight="1">
      <c r="A2" s="15" t="inlineStr">
        <is>
          <t>PASSRESS MIS   |   Home ▸ Products</t>
        </is>
      </c>
    </row>
    <row r="3" ht="14" customHeight="1">
      <c r="A3" s="3" t="inlineStr">
        <is>
          <t>Sheet Documentation  (use the  +  outline control at left to expand)</t>
        </is>
      </c>
    </row>
    <row r="4" hidden="1" outlineLevel="1" ht="13" customHeight="1">
      <c r="A4" s="4" t="inlineStr">
        <is>
          <t>Purpose</t>
        </is>
      </c>
      <c r="B4" s="5" t="inlineStr">
        <is>
          <t>Product-level performance dashboard placeholders (Phase 4) PLUS, as of Phase 3, the Product Cost Master — the workbook's historical/versioned SKU costing table.</t>
        </is>
      </c>
    </row>
    <row r="5" hidden="1" outlineLevel="1" ht="13" customHeight="1">
      <c r="A5" s="4" t="inlineStr">
        <is>
          <t>Input tables</t>
        </is>
      </c>
      <c r="B5" s="5" t="inlineStr">
        <is>
          <t>DIM_Product, FACT_OrderLines (Phase 4 dashboard). RAW_Variants, RAW_Collections (Phase 3 Product Cost Master dropdowns).</t>
        </is>
      </c>
    </row>
    <row r="6" hidden="1" outlineLevel="1" ht="13" customHeight="1">
      <c r="A6" s="4" t="inlineStr">
        <is>
          <t>Output tables</t>
        </is>
      </c>
      <c r="B6" s="5" t="inlineStr">
        <is>
          <t>Product KPI row, Top Products table, Product Margin table, Variant Detail table (Phase 4). tbl_ProductCostMaster feeding DIM_ProductCostHistory (Phase 3, live now).</t>
        </is>
      </c>
    </row>
    <row r="7" hidden="1" outlineLevel="1" ht="13" customHeight="1">
      <c r="A7" s="4" t="inlineStr">
        <is>
          <t>Relationships</t>
        </is>
      </c>
      <c r="B7" s="5" t="inlineStr">
        <is>
          <t>DIM_Product links to FACT_OrderLines on ProductKey (Phase 4). tbl_ProductCostMaster[SKU] links to RAW_Variants[SKU]; Phase 4's COGS calculation will further match SKU + order date against Effective From/To Date.</t>
        </is>
      </c>
    </row>
    <row r="8" hidden="1" outlineLevel="1" ht="13" customHeight="1">
      <c r="A8" s="4" t="inlineStr">
        <is>
          <t>Future data source</t>
        </is>
      </c>
      <c r="B8" s="5" t="inlineStr">
        <is>
          <t>RAW_Products / RAW_Variants via Power Query — Phase 2 (dashboard). Product Cost Master is manual entry today — see PHASE3_DOCUMENTATION.md §1.</t>
        </is>
      </c>
    </row>
    <row r="9" hidden="1" outlineLevel="1"/>
    <row r="10" ht="6" customHeight="1"/>
    <row r="11" ht="15" customHeight="1">
      <c r="B11" s="6" t="inlineStr">
        <is>
          <t>ACTIVE SKUS</t>
        </is>
      </c>
      <c r="C11" s="7" t="n"/>
      <c r="D11" s="6" t="inlineStr">
        <is>
          <t>BEST SELLER</t>
        </is>
      </c>
      <c r="E11" s="7" t="n"/>
      <c r="F11" s="6" t="inlineStr">
        <is>
          <t>AVG MARGIN %</t>
        </is>
      </c>
      <c r="G11" s="7" t="n"/>
      <c r="H11" s="6" t="inlineStr">
        <is>
          <t>SLOW MOVERS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29" t="inlineStr">
        <is>
          <t>[ Top 10 Products (Chart)  —  Placeholder, built in Phase 4 ]</t>
        </is>
      </c>
      <c r="C17" s="30" t="n"/>
      <c r="D17" s="30" t="n"/>
      <c r="E17" s="30" t="n"/>
      <c r="F17" s="30" t="n"/>
      <c r="G17" s="30" t="n"/>
      <c r="H17" s="30" t="n"/>
      <c r="I17" s="30" t="n"/>
      <c r="J17" s="30" t="n"/>
      <c r="K17" s="30" t="n"/>
    </row>
    <row r="18">
      <c r="B18" s="30" t="n"/>
      <c r="C18" s="30" t="n"/>
      <c r="D18" s="30" t="n"/>
      <c r="E18" s="30" t="n"/>
      <c r="F18" s="30" t="n"/>
      <c r="G18" s="30" t="n"/>
      <c r="H18" s="30" t="n"/>
      <c r="I18" s="30" t="n"/>
      <c r="J18" s="30" t="n"/>
      <c r="K18" s="30" t="n"/>
    </row>
    <row r="19">
      <c r="B19" s="30" t="n"/>
      <c r="C19" s="30" t="n"/>
      <c r="D19" s="30" t="n"/>
      <c r="E19" s="30" t="n"/>
      <c r="F19" s="30" t="n"/>
      <c r="G19" s="30" t="n"/>
      <c r="H19" s="30" t="n"/>
      <c r="I19" s="30" t="n"/>
      <c r="J19" s="30" t="n"/>
      <c r="K19" s="30" t="n"/>
    </row>
    <row r="20">
      <c r="B20" s="30" t="n"/>
      <c r="C20" s="30" t="n"/>
      <c r="D20" s="30" t="n"/>
      <c r="E20" s="30" t="n"/>
      <c r="F20" s="30" t="n"/>
      <c r="G20" s="30" t="n"/>
      <c r="H20" s="30" t="n"/>
      <c r="I20" s="30" t="n"/>
      <c r="J20" s="30" t="n"/>
      <c r="K20" s="30" t="n"/>
    </row>
    <row r="21">
      <c r="B21" s="30" t="n"/>
      <c r="C21" s="30" t="n"/>
      <c r="D21" s="30" t="n"/>
      <c r="E21" s="30" t="n"/>
      <c r="F21" s="30" t="n"/>
      <c r="G21" s="30" t="n"/>
      <c r="H21" s="30" t="n"/>
      <c r="I21" s="30" t="n"/>
      <c r="J21" s="30" t="n"/>
      <c r="K21" s="30" t="n"/>
    </row>
    <row r="22">
      <c r="B22" s="30" t="n"/>
      <c r="C22" s="30" t="n"/>
      <c r="D22" s="30" t="n"/>
      <c r="E22" s="30" t="n"/>
      <c r="F22" s="30" t="n"/>
      <c r="G22" s="30" t="n"/>
      <c r="H22" s="30" t="n"/>
      <c r="I22" s="30" t="n"/>
      <c r="J22" s="30" t="n"/>
      <c r="K22" s="30" t="n"/>
    </row>
    <row r="23">
      <c r="B23" s="30" t="n"/>
      <c r="C23" s="30" t="n"/>
      <c r="D23" s="30" t="n"/>
      <c r="E23" s="30" t="n"/>
      <c r="F23" s="30" t="n"/>
      <c r="G23" s="30" t="n"/>
      <c r="H23" s="30" t="n"/>
      <c r="I23" s="30" t="n"/>
      <c r="J23" s="30" t="n"/>
      <c r="K23" s="30" t="n"/>
    </row>
    <row r="24">
      <c r="B24" s="30" t="n"/>
      <c r="C24" s="30" t="n"/>
      <c r="D24" s="30" t="n"/>
      <c r="E24" s="30" t="n"/>
      <c r="F24" s="30" t="n"/>
      <c r="G24" s="30" t="n"/>
      <c r="H24" s="30" t="n"/>
      <c r="I24" s="30" t="n"/>
      <c r="J24" s="30" t="n"/>
      <c r="K24" s="30" t="n"/>
    </row>
    <row r="27">
      <c r="B27" s="10" t="inlineStr">
        <is>
          <t>DETAIL (PIVOTTABLES)</t>
        </is>
      </c>
    </row>
    <row r="28">
      <c r="B28" s="29" t="inlineStr">
        <is>
          <t>[ Product Margin (PivotTable)  —  Placeholder, built in Phase 4 ]</t>
        </is>
      </c>
      <c r="C28" s="30" t="n"/>
      <c r="D28" s="30" t="n"/>
      <c r="E28" s="30" t="n"/>
      <c r="F28" s="30" t="n"/>
      <c r="G28" s="29" t="inlineStr">
        <is>
          <t>[ Variant Detail (PivotTable)  —  Placeholder, built in Phase 4 ]</t>
        </is>
      </c>
      <c r="H28" s="30" t="n"/>
      <c r="I28" s="30" t="n"/>
      <c r="J28" s="30" t="n"/>
      <c r="K28" s="30" t="n"/>
    </row>
    <row r="29">
      <c r="B29" s="30" t="n"/>
      <c r="C29" s="30" t="n"/>
      <c r="D29" s="30" t="n"/>
      <c r="E29" s="30" t="n"/>
      <c r="F29" s="30" t="n"/>
      <c r="G29" s="30" t="n"/>
      <c r="H29" s="30" t="n"/>
      <c r="I29" s="30" t="n"/>
      <c r="J29" s="30" t="n"/>
      <c r="K29" s="30" t="n"/>
    </row>
    <row r="30">
      <c r="B30" s="30" t="n"/>
      <c r="C30" s="30" t="n"/>
      <c r="D30" s="30" t="n"/>
      <c r="E30" s="30" t="n"/>
      <c r="F30" s="30" t="n"/>
      <c r="G30" s="30" t="n"/>
      <c r="H30" s="30" t="n"/>
      <c r="I30" s="30" t="n"/>
      <c r="J30" s="30" t="n"/>
      <c r="K30" s="30" t="n"/>
    </row>
    <row r="31">
      <c r="B31" s="30" t="n"/>
      <c r="C31" s="30" t="n"/>
      <c r="D31" s="30" t="n"/>
      <c r="E31" s="30" t="n"/>
      <c r="F31" s="30" t="n"/>
      <c r="G31" s="30" t="n"/>
      <c r="H31" s="30" t="n"/>
      <c r="I31" s="30" t="n"/>
      <c r="J31" s="30" t="n"/>
      <c r="K31" s="30" t="n"/>
    </row>
    <row r="32">
      <c r="B32" s="30" t="n"/>
      <c r="C32" s="30" t="n"/>
      <c r="D32" s="30" t="n"/>
      <c r="E32" s="30" t="n"/>
      <c r="F32" s="30" t="n"/>
      <c r="G32" s="30" t="n"/>
      <c r="H32" s="30" t="n"/>
      <c r="I32" s="30" t="n"/>
      <c r="J32" s="30" t="n"/>
      <c r="K32" s="30" t="n"/>
    </row>
    <row r="33">
      <c r="B33" s="30" t="n"/>
      <c r="C33" s="30" t="n"/>
      <c r="D33" s="30" t="n"/>
      <c r="E33" s="30" t="n"/>
      <c r="F33" s="30" t="n"/>
      <c r="G33" s="30" t="n"/>
      <c r="H33" s="30" t="n"/>
      <c r="I33" s="30" t="n"/>
      <c r="J33" s="30" t="n"/>
      <c r="K33" s="30" t="n"/>
    </row>
    <row r="34">
      <c r="B34" s="30" t="n"/>
      <c r="C34" s="30" t="n"/>
      <c r="D34" s="30" t="n"/>
      <c r="E34" s="30" t="n"/>
      <c r="F34" s="30" t="n"/>
      <c r="G34" s="30" t="n"/>
      <c r="H34" s="30" t="n"/>
      <c r="I34" s="30" t="n"/>
      <c r="J34" s="30" t="n"/>
      <c r="K34" s="30" t="n"/>
    </row>
    <row r="35">
      <c r="B35" s="30" t="n"/>
      <c r="C35" s="30" t="n"/>
      <c r="D35" s="30" t="n"/>
      <c r="E35" s="30" t="n"/>
      <c r="F35" s="30" t="n"/>
      <c r="G35" s="30" t="n"/>
      <c r="H35" s="30" t="n"/>
      <c r="I35" s="30" t="n"/>
      <c r="J35" s="30" t="n"/>
      <c r="K35" s="30" t="n"/>
    </row>
    <row r="36">
      <c r="B36" s="30" t="n"/>
      <c r="C36" s="30" t="n"/>
      <c r="D36" s="30" t="n"/>
      <c r="E36" s="30" t="n"/>
      <c r="F36" s="30" t="n"/>
      <c r="G36" s="30" t="n"/>
      <c r="H36" s="30" t="n"/>
      <c r="I36" s="30" t="n"/>
      <c r="J36" s="30" t="n"/>
      <c r="K36" s="30" t="n"/>
    </row>
    <row r="37">
      <c r="B37" s="30" t="n"/>
      <c r="C37" s="30" t="n"/>
      <c r="D37" s="30" t="n"/>
      <c r="E37" s="30" t="n"/>
      <c r="F37" s="30" t="n"/>
      <c r="G37" s="30" t="n"/>
      <c r="H37" s="30" t="n"/>
      <c r="I37" s="30" t="n"/>
      <c r="J37" s="30" t="n"/>
      <c r="K37" s="30" t="n"/>
    </row>
    <row r="41">
      <c r="B41" s="31" t="inlineStr">
        <is>
          <t>PRODUCT COST MASTER  (Phase 3 — green cells = type here; Cost ID, Total Landed Cost, Expected Gross Margin %, and the overlap warning are automatic)</t>
        </is>
      </c>
    </row>
    <row r="42" ht="24" customHeight="1">
      <c r="B42" s="32" t="inlineStr">
        <is>
          <t>Historical costing: never edit or delete a past row when a cost changes — add a NEW row for the new cost with its own Effective From Date, and set the OLD row's Effective To Date to the day before and its Active Flag to Inactive. Phase 4's COGS calculation will match each order line to the cost row whose SKU matches and whose Effective From/To range contains the order's date — so past orders keep using the cost that was actually active when they happened, even after costs change.</t>
        </is>
      </c>
    </row>
    <row r="44" ht="18" customHeight="1">
      <c r="B44" s="33" t="inlineStr">
        <is>
          <t>Cost ID</t>
        </is>
      </c>
      <c r="C44" s="33" t="inlineStr">
        <is>
          <t>SKU</t>
        </is>
      </c>
      <c r="D44" s="33" t="inlineStr">
        <is>
          <t>Product Name</t>
        </is>
      </c>
      <c r="E44" s="33" t="inlineStr">
        <is>
          <t>Variant</t>
        </is>
      </c>
      <c r="F44" s="33" t="inlineStr">
        <is>
          <t>Collection</t>
        </is>
      </c>
      <c r="G44" s="33" t="inlineStr">
        <is>
          <t>Fabric Cost</t>
        </is>
      </c>
      <c r="H44" s="33" t="inlineStr">
        <is>
          <t>Accessories Cost</t>
        </is>
      </c>
      <c r="I44" s="33" t="inlineStr">
        <is>
          <t>Manufacturing Cost</t>
        </is>
      </c>
      <c r="J44" s="33" t="inlineStr">
        <is>
          <t>Packaging Cost</t>
        </is>
      </c>
      <c r="K44" s="33" t="inlineStr">
        <is>
          <t>Shipping Cost</t>
        </is>
      </c>
      <c r="L44" s="33" t="inlineStr">
        <is>
          <t>Other Cost</t>
        </is>
      </c>
      <c r="M44" s="33" t="inlineStr">
        <is>
          <t>Total Landed Cost</t>
        </is>
      </c>
      <c r="N44" s="33" t="inlineStr">
        <is>
          <t>Selling Price</t>
        </is>
      </c>
      <c r="O44" s="33" t="inlineStr">
        <is>
          <t>Expected Gross Margin %</t>
        </is>
      </c>
      <c r="P44" s="33" t="inlineStr">
        <is>
          <t>Effective From Date</t>
        </is>
      </c>
      <c r="Q44" s="33" t="inlineStr">
        <is>
          <t>Effective To Date</t>
        </is>
      </c>
      <c r="R44" s="33" t="inlineStr">
        <is>
          <t>Active Flag</t>
        </is>
      </c>
      <c r="S44" s="33" t="inlineStr">
        <is>
          <t>Overlap Warning</t>
        </is>
      </c>
    </row>
    <row r="45">
      <c r="B45" s="27">
        <f>"COST-"&amp;TEXT(ROW()-44,"00000")</f>
        <v/>
      </c>
      <c r="C45" s="34" t="n"/>
      <c r="D45" s="34" t="inlineStr">
        <is>
          <t>EXAMPLE — Amara Wrap Dress</t>
        </is>
      </c>
      <c r="E45" s="34" t="inlineStr">
        <is>
          <t>Black / M</t>
        </is>
      </c>
      <c r="F45" s="34" t="n"/>
      <c r="G45" s="34" t="n">
        <v>180</v>
      </c>
      <c r="H45" s="34" t="n">
        <v>25</v>
      </c>
      <c r="I45" s="34" t="n">
        <v>90</v>
      </c>
      <c r="J45" s="34" t="n">
        <v>15</v>
      </c>
      <c r="K45" s="34" t="n">
        <v>20</v>
      </c>
      <c r="L45" s="34" t="n">
        <v>0</v>
      </c>
      <c r="M45" s="35">
        <f>SUM([@[Fabric Cost]],[@[Accessories Cost]],[@[Manufacturing Cost]],[@[Packaging Cost]],[@[Shipping Cost]],[@[Other Cost]])</f>
        <v/>
      </c>
      <c r="N45" s="34" t="n">
        <v>650</v>
      </c>
      <c r="O45" s="36">
        <f>IF([@[Selling Price]]=0,"",([@[Selling Price]]-[@[Total Landed Cost]])/[@[Selling Price]])</f>
        <v/>
      </c>
      <c r="P45" s="34" t="inlineStr">
        <is>
          <t>2026-01-01</t>
        </is>
      </c>
      <c r="Q45" s="34" t="n"/>
      <c r="R45" s="34" t="inlineStr">
        <is>
          <t>Active</t>
        </is>
      </c>
      <c r="S45" s="27">
        <f>IF(COUNTIFS(tbl_ProductCostMaster[SKU],[@SKU],tbl_ProductCostMaster[Active Flag],"Active")&gt;1,"Multiple Active cost rows for this SKU — deactivate all but the current one","")</f>
        <v/>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dataValidations count="3">
    <dataValidation sqref="C45: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F45:F501" showDropDown="0" showInputMessage="1" showErrorMessage="1" allowBlank="1" errorTitle="Invalid entry" error="Please choose a value from the Collection list — free text isn't accepted here." promptTitle="Collection" prompt="Choose a live Shopify collection." type="list" errorStyle="stop">
      <formula1>=CollectionTitleList</formula1>
    </dataValidation>
    <dataValidation sqref="R45:R501" showDropDown="0" showInputMessage="1" showErrorMessage="1" allowBlank="1" errorTitle="Invalid entry" error="Choose Active or Inactive." promptTitle="Active Flag" prompt="Only ONE row per SKU should be Active at a time — see the historical-costing note above." type="list" errorStyle="stop">
      <formula1>"Active,Inactive"</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Customers</t>
        </is>
      </c>
    </row>
    <row r="2" ht="16" customHeight="1">
      <c r="A2" s="15" t="inlineStr">
        <is>
          <t>PASSRESS MIS   |   Home ▸ Customers</t>
        </is>
      </c>
    </row>
    <row r="3" ht="14" customHeight="1">
      <c r="A3" s="3" t="inlineStr">
        <is>
          <t>Sheet Documentation  (use the  +  outline control at left to expand)</t>
        </is>
      </c>
    </row>
    <row r="4" hidden="1" outlineLevel="1" ht="13" customHeight="1">
      <c r="A4" s="4" t="inlineStr">
        <is>
          <t>Purpose</t>
        </is>
      </c>
      <c r="B4" s="5" t="inlineStr">
        <is>
          <t>Customer analytics — cohorts, lifetime value, repeat-purchase rate, and geography.</t>
        </is>
      </c>
    </row>
    <row r="5" hidden="1" outlineLevel="1" ht="13" customHeight="1">
      <c r="A5" s="4" t="inlineStr">
        <is>
          <t>Input tables</t>
        </is>
      </c>
      <c r="B5" s="5" t="inlineStr">
        <is>
          <t>DIM_Customer, FACT_OrderLines.</t>
        </is>
      </c>
    </row>
    <row r="6" hidden="1" outlineLevel="1" ht="13" customHeight="1">
      <c r="A6" s="4" t="inlineStr">
        <is>
          <t>Output tables</t>
        </is>
      </c>
      <c r="B6" s="5" t="inlineStr">
        <is>
          <t>Customer KPI row, Cohort table, Top Customers table, Geography breakdown.</t>
        </is>
      </c>
    </row>
    <row r="7" hidden="1" outlineLevel="1" ht="13" customHeight="1">
      <c r="A7" s="4" t="inlineStr">
        <is>
          <t>Relationships</t>
        </is>
      </c>
      <c r="B7" s="5" t="inlineStr">
        <is>
          <t>DIM_Customer links to FACT_OrderLines on CustomerKey.</t>
        </is>
      </c>
    </row>
    <row r="8" hidden="1" outlineLevel="1" ht="13" customHeight="1">
      <c r="A8" s="4" t="inlineStr">
        <is>
          <t>Future data source</t>
        </is>
      </c>
      <c r="B8" s="5" t="inlineStr">
        <is>
          <t>RAW_Customers via Power Query — Phase 2.</t>
        </is>
      </c>
    </row>
    <row r="9" hidden="1" outlineLevel="1"/>
    <row r="10" ht="6" customHeight="1"/>
    <row r="11" ht="15" customHeight="1">
      <c r="B11" s="6" t="inlineStr">
        <is>
          <t>TOTAL CUSTOMERS</t>
        </is>
      </c>
      <c r="C11" s="7" t="n"/>
      <c r="D11" s="6" t="inlineStr">
        <is>
          <t>NEW CUSTOMERS</t>
        </is>
      </c>
      <c r="E11" s="7" t="n"/>
      <c r="F11" s="6" t="inlineStr">
        <is>
          <t>REPEAT RATE %</t>
        </is>
      </c>
      <c r="G11" s="7" t="n"/>
      <c r="H11" s="6" t="inlineStr">
        <is>
          <t>AVG LTV</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29" t="inlineStr">
        <is>
          <t>[ Cohort Trend (Chart)  —  Placeholder, built in Phase 4 ]</t>
        </is>
      </c>
      <c r="C17" s="30" t="n"/>
      <c r="D17" s="30" t="n"/>
      <c r="E17" s="30" t="n"/>
      <c r="F17" s="30" t="n"/>
      <c r="G17" s="30" t="n"/>
      <c r="H17" s="30" t="n"/>
      <c r="I17" s="30" t="n"/>
      <c r="J17" s="30" t="n"/>
      <c r="K17" s="30" t="n"/>
    </row>
    <row r="18">
      <c r="B18" s="30" t="n"/>
      <c r="C18" s="30" t="n"/>
      <c r="D18" s="30" t="n"/>
      <c r="E18" s="30" t="n"/>
      <c r="F18" s="30" t="n"/>
      <c r="G18" s="30" t="n"/>
      <c r="H18" s="30" t="n"/>
      <c r="I18" s="30" t="n"/>
      <c r="J18" s="30" t="n"/>
      <c r="K18" s="30" t="n"/>
    </row>
    <row r="19">
      <c r="B19" s="30" t="n"/>
      <c r="C19" s="30" t="n"/>
      <c r="D19" s="30" t="n"/>
      <c r="E19" s="30" t="n"/>
      <c r="F19" s="30" t="n"/>
      <c r="G19" s="30" t="n"/>
      <c r="H19" s="30" t="n"/>
      <c r="I19" s="30" t="n"/>
      <c r="J19" s="30" t="n"/>
      <c r="K19" s="30" t="n"/>
    </row>
    <row r="20">
      <c r="B20" s="30" t="n"/>
      <c r="C20" s="30" t="n"/>
      <c r="D20" s="30" t="n"/>
      <c r="E20" s="30" t="n"/>
      <c r="F20" s="30" t="n"/>
      <c r="G20" s="30" t="n"/>
      <c r="H20" s="30" t="n"/>
      <c r="I20" s="30" t="n"/>
      <c r="J20" s="30" t="n"/>
      <c r="K20" s="30" t="n"/>
    </row>
    <row r="21">
      <c r="B21" s="30" t="n"/>
      <c r="C21" s="30" t="n"/>
      <c r="D21" s="30" t="n"/>
      <c r="E21" s="30" t="n"/>
      <c r="F21" s="30" t="n"/>
      <c r="G21" s="30" t="n"/>
      <c r="H21" s="30" t="n"/>
      <c r="I21" s="30" t="n"/>
      <c r="J21" s="30" t="n"/>
      <c r="K21" s="30" t="n"/>
    </row>
    <row r="22">
      <c r="B22" s="30" t="n"/>
      <c r="C22" s="30" t="n"/>
      <c r="D22" s="30" t="n"/>
      <c r="E22" s="30" t="n"/>
      <c r="F22" s="30" t="n"/>
      <c r="G22" s="30" t="n"/>
      <c r="H22" s="30" t="n"/>
      <c r="I22" s="30" t="n"/>
      <c r="J22" s="30" t="n"/>
      <c r="K22" s="30" t="n"/>
    </row>
    <row r="23">
      <c r="B23" s="30" t="n"/>
      <c r="C23" s="30" t="n"/>
      <c r="D23" s="30" t="n"/>
      <c r="E23" s="30" t="n"/>
      <c r="F23" s="30" t="n"/>
      <c r="G23" s="30" t="n"/>
      <c r="H23" s="30" t="n"/>
      <c r="I23" s="30" t="n"/>
      <c r="J23" s="30" t="n"/>
      <c r="K23" s="30" t="n"/>
    </row>
    <row r="24">
      <c r="B24" s="30" t="n"/>
      <c r="C24" s="30" t="n"/>
      <c r="D24" s="30" t="n"/>
      <c r="E24" s="30" t="n"/>
      <c r="F24" s="30" t="n"/>
      <c r="G24" s="30" t="n"/>
      <c r="H24" s="30" t="n"/>
      <c r="I24" s="30" t="n"/>
      <c r="J24" s="30" t="n"/>
      <c r="K24" s="30" t="n"/>
    </row>
    <row r="27">
      <c r="B27" s="10" t="inlineStr">
        <is>
          <t>DETAIL (PIVOTTABLES)</t>
        </is>
      </c>
    </row>
    <row r="28">
      <c r="B28" s="29" t="inlineStr">
        <is>
          <t>[ Cohort Table (PivotTable)  —  Placeholder, built in Phase 4 ]</t>
        </is>
      </c>
      <c r="C28" s="30" t="n"/>
      <c r="D28" s="30" t="n"/>
      <c r="E28" s="30" t="n"/>
      <c r="F28" s="30" t="n"/>
      <c r="G28" s="29" t="inlineStr">
        <is>
          <t>[ Top Customers (PivotTable)  —  Placeholder, built in Phase 4 ]</t>
        </is>
      </c>
      <c r="H28" s="30" t="n"/>
      <c r="I28" s="30" t="n"/>
      <c r="J28" s="30" t="n"/>
      <c r="K28" s="30" t="n"/>
    </row>
    <row r="29">
      <c r="B29" s="30" t="n"/>
      <c r="C29" s="30" t="n"/>
      <c r="D29" s="30" t="n"/>
      <c r="E29" s="30" t="n"/>
      <c r="F29" s="30" t="n"/>
      <c r="G29" s="30" t="n"/>
      <c r="H29" s="30" t="n"/>
      <c r="I29" s="30" t="n"/>
      <c r="J29" s="30" t="n"/>
      <c r="K29" s="30" t="n"/>
    </row>
    <row r="30">
      <c r="B30" s="30" t="n"/>
      <c r="C30" s="30" t="n"/>
      <c r="D30" s="30" t="n"/>
      <c r="E30" s="30" t="n"/>
      <c r="F30" s="30" t="n"/>
      <c r="G30" s="30" t="n"/>
      <c r="H30" s="30" t="n"/>
      <c r="I30" s="30" t="n"/>
      <c r="J30" s="30" t="n"/>
      <c r="K30" s="30" t="n"/>
    </row>
    <row r="31">
      <c r="B31" s="30" t="n"/>
      <c r="C31" s="30" t="n"/>
      <c r="D31" s="30" t="n"/>
      <c r="E31" s="30" t="n"/>
      <c r="F31" s="30" t="n"/>
      <c r="G31" s="30" t="n"/>
      <c r="H31" s="30" t="n"/>
      <c r="I31" s="30" t="n"/>
      <c r="J31" s="30" t="n"/>
      <c r="K31" s="30" t="n"/>
    </row>
    <row r="32">
      <c r="B32" s="30" t="n"/>
      <c r="C32" s="30" t="n"/>
      <c r="D32" s="30" t="n"/>
      <c r="E32" s="30" t="n"/>
      <c r="F32" s="30" t="n"/>
      <c r="G32" s="30" t="n"/>
      <c r="H32" s="30" t="n"/>
      <c r="I32" s="30" t="n"/>
      <c r="J32" s="30" t="n"/>
      <c r="K32" s="30" t="n"/>
    </row>
    <row r="33">
      <c r="B33" s="30" t="n"/>
      <c r="C33" s="30" t="n"/>
      <c r="D33" s="30" t="n"/>
      <c r="E33" s="30" t="n"/>
      <c r="F33" s="30" t="n"/>
      <c r="G33" s="30" t="n"/>
      <c r="H33" s="30" t="n"/>
      <c r="I33" s="30" t="n"/>
      <c r="J33" s="30" t="n"/>
      <c r="K33" s="30" t="n"/>
    </row>
    <row r="34">
      <c r="B34" s="30" t="n"/>
      <c r="C34" s="30" t="n"/>
      <c r="D34" s="30" t="n"/>
      <c r="E34" s="30" t="n"/>
      <c r="F34" s="30" t="n"/>
      <c r="G34" s="30" t="n"/>
      <c r="H34" s="30" t="n"/>
      <c r="I34" s="30" t="n"/>
      <c r="J34" s="30" t="n"/>
      <c r="K34" s="30" t="n"/>
    </row>
    <row r="35">
      <c r="B35" s="30" t="n"/>
      <c r="C35" s="30" t="n"/>
      <c r="D35" s="30" t="n"/>
      <c r="E35" s="30" t="n"/>
      <c r="F35" s="30" t="n"/>
      <c r="G35" s="30" t="n"/>
      <c r="H35" s="30" t="n"/>
      <c r="I35" s="30" t="n"/>
      <c r="J35" s="30" t="n"/>
      <c r="K35" s="30" t="n"/>
    </row>
    <row r="36">
      <c r="B36" s="30" t="n"/>
      <c r="C36" s="30" t="n"/>
      <c r="D36" s="30" t="n"/>
      <c r="E36" s="30" t="n"/>
      <c r="F36" s="30" t="n"/>
      <c r="G36" s="30" t="n"/>
      <c r="H36" s="30" t="n"/>
      <c r="I36" s="30" t="n"/>
      <c r="J36" s="30" t="n"/>
      <c r="K36" s="30" t="n"/>
    </row>
    <row r="37">
      <c r="B37" s="30" t="n"/>
      <c r="C37" s="30" t="n"/>
      <c r="D37" s="30" t="n"/>
      <c r="E37" s="30" t="n"/>
      <c r="F37" s="30" t="n"/>
      <c r="G37" s="30" t="n"/>
      <c r="H37" s="30" t="n"/>
      <c r="I37" s="30" t="n"/>
      <c r="J37" s="30" t="n"/>
      <c r="K37" s="30" t="n"/>
    </row>
    <row r="39">
      <c r="B39" s="29" t="inlineStr">
        <is>
          <t>[ Geography (PivotTable)  —  Placeholder, built in Phase 4 ]</t>
        </is>
      </c>
      <c r="C39" s="30" t="n"/>
      <c r="D39" s="30" t="n"/>
      <c r="E39" s="30" t="n"/>
      <c r="F39" s="30" t="n"/>
    </row>
    <row r="40">
      <c r="B40" s="30" t="n"/>
      <c r="C40" s="30" t="n"/>
      <c r="D40" s="30" t="n"/>
      <c r="E40" s="30" t="n"/>
      <c r="F40" s="30" t="n"/>
    </row>
    <row r="41">
      <c r="B41" s="30" t="n"/>
      <c r="C41" s="30" t="n"/>
      <c r="D41" s="30" t="n"/>
      <c r="E41" s="30" t="n"/>
      <c r="F41" s="30" t="n"/>
    </row>
    <row r="42">
      <c r="B42" s="30" t="n"/>
      <c r="C42" s="30" t="n"/>
      <c r="D42" s="30" t="n"/>
      <c r="E42" s="30" t="n"/>
      <c r="F42" s="30" t="n"/>
    </row>
    <row r="43">
      <c r="B43" s="30" t="n"/>
      <c r="C43" s="30" t="n"/>
      <c r="D43" s="30" t="n"/>
      <c r="E43" s="30" t="n"/>
      <c r="F43" s="30" t="n"/>
    </row>
    <row r="44">
      <c r="B44" s="30" t="n"/>
      <c r="C44" s="30" t="n"/>
      <c r="D44" s="30" t="n"/>
      <c r="E44" s="30" t="n"/>
      <c r="F44" s="30" t="n"/>
    </row>
    <row r="45">
      <c r="B45" s="30" t="n"/>
      <c r="C45" s="30" t="n"/>
      <c r="D45" s="30" t="n"/>
      <c r="E45" s="30" t="n"/>
      <c r="F45" s="30" t="n"/>
    </row>
    <row r="46">
      <c r="B46" s="30" t="n"/>
      <c r="C46" s="30" t="n"/>
      <c r="D46" s="30" t="n"/>
      <c r="E46" s="30" t="n"/>
      <c r="F46" s="30" t="n"/>
    </row>
    <row r="47">
      <c r="B47" s="30" t="n"/>
      <c r="C47" s="30" t="n"/>
      <c r="D47" s="30" t="n"/>
      <c r="E47" s="30" t="n"/>
      <c r="F47" s="30" t="n"/>
    </row>
    <row r="48">
      <c r="B48" s="30" t="n"/>
      <c r="C48" s="30" t="n"/>
      <c r="D48" s="30" t="n"/>
      <c r="E48" s="30" t="n"/>
      <c r="F48" s="30"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tabColor rgb="00404040"/>
    <outlinePr applyStyles="1" summaryBelow="0" summaryRight="1"/>
    <pageSetUpPr/>
  </sheetPr>
  <dimension ref="A1:L4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Inventory</t>
        </is>
      </c>
    </row>
    <row r="2" ht="16" customHeight="1">
      <c r="A2" s="15" t="inlineStr">
        <is>
          <t>PASSRESS MIS   |   Home ▸ Inventory</t>
        </is>
      </c>
    </row>
    <row r="3" ht="14" customHeight="1">
      <c r="A3" s="3" t="inlineStr">
        <is>
          <t>Sheet Documentation  (use the  +  outline control at left to expand)</t>
        </is>
      </c>
    </row>
    <row r="4" hidden="1" outlineLevel="1" ht="13" customHeight="1">
      <c r="A4" s="4" t="inlineStr">
        <is>
          <t>Purpose</t>
        </is>
      </c>
      <c r="B4" s="5" t="inlineStr">
        <is>
          <t>Stock levels, valuation, turnover, and reorder risk.</t>
        </is>
      </c>
    </row>
    <row r="5" hidden="1" outlineLevel="1" ht="13" customHeight="1">
      <c r="A5" s="4" t="inlineStr">
        <is>
          <t>Input tables</t>
        </is>
      </c>
      <c r="B5" s="5" t="inlineStr">
        <is>
          <t>FACT_InventoryMovements, DIM_Product, DIM_Location.</t>
        </is>
      </c>
    </row>
    <row r="6" hidden="1" outlineLevel="1" ht="13" customHeight="1">
      <c r="A6" s="4" t="inlineStr">
        <is>
          <t>Output tables</t>
        </is>
      </c>
      <c r="B6" s="5" t="inlineStr">
        <is>
          <t>Inventory KPI row, Stock-by-Location table, Low Stock list, Valuation table.</t>
        </is>
      </c>
    </row>
    <row r="7" hidden="1" outlineLevel="1" ht="13" customHeight="1">
      <c r="A7" s="4" t="inlineStr">
        <is>
          <t>Relationships</t>
        </is>
      </c>
      <c r="B7" s="5" t="inlineStr">
        <is>
          <t>FACT_InventoryMovements links to DIM_Product and DIM_Location.</t>
        </is>
      </c>
    </row>
    <row r="8" hidden="1" outlineLevel="1" ht="13" customHeight="1">
      <c r="A8" s="4" t="inlineStr">
        <is>
          <t>Future data source</t>
        </is>
      </c>
      <c r="B8" s="5" t="inlineStr">
        <is>
          <t>RAW_InventoryLevels via Power Query — Phase 2.</t>
        </is>
      </c>
    </row>
    <row r="9" hidden="1" outlineLevel="1"/>
    <row r="10" ht="6" customHeight="1"/>
    <row r="11" ht="15" customHeight="1">
      <c r="B11" s="6" t="inlineStr">
        <is>
          <t>INVENTORY VALUE</t>
        </is>
      </c>
      <c r="C11" s="7" t="n"/>
      <c r="D11" s="6" t="inlineStr">
        <is>
          <t>UNITS ON HAND</t>
        </is>
      </c>
      <c r="E11" s="7" t="n"/>
      <c r="F11" s="6" t="inlineStr">
        <is>
          <t>INVENTORY TURNS</t>
        </is>
      </c>
      <c r="G11" s="7" t="n"/>
      <c r="H11" s="6" t="inlineStr">
        <is>
          <t>STOCKOUT RISK</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29" t="inlineStr">
        <is>
          <t>[ Stock Trend (Chart)  —  Placeholder, built in Phase 4 ]</t>
        </is>
      </c>
      <c r="C17" s="30" t="n"/>
      <c r="D17" s="30" t="n"/>
      <c r="E17" s="30" t="n"/>
      <c r="F17" s="30" t="n"/>
      <c r="G17" s="30" t="n"/>
      <c r="H17" s="30" t="n"/>
      <c r="I17" s="30" t="n"/>
      <c r="J17" s="30" t="n"/>
      <c r="K17" s="30" t="n"/>
    </row>
    <row r="18">
      <c r="B18" s="30" t="n"/>
      <c r="C18" s="30" t="n"/>
      <c r="D18" s="30" t="n"/>
      <c r="E18" s="30" t="n"/>
      <c r="F18" s="30" t="n"/>
      <c r="G18" s="30" t="n"/>
      <c r="H18" s="30" t="n"/>
      <c r="I18" s="30" t="n"/>
      <c r="J18" s="30" t="n"/>
      <c r="K18" s="30" t="n"/>
    </row>
    <row r="19">
      <c r="B19" s="30" t="n"/>
      <c r="C19" s="30" t="n"/>
      <c r="D19" s="30" t="n"/>
      <c r="E19" s="30" t="n"/>
      <c r="F19" s="30" t="n"/>
      <c r="G19" s="30" t="n"/>
      <c r="H19" s="30" t="n"/>
      <c r="I19" s="30" t="n"/>
      <c r="J19" s="30" t="n"/>
      <c r="K19" s="30" t="n"/>
    </row>
    <row r="20">
      <c r="B20" s="30" t="n"/>
      <c r="C20" s="30" t="n"/>
      <c r="D20" s="30" t="n"/>
      <c r="E20" s="30" t="n"/>
      <c r="F20" s="30" t="n"/>
      <c r="G20" s="30" t="n"/>
      <c r="H20" s="30" t="n"/>
      <c r="I20" s="30" t="n"/>
      <c r="J20" s="30" t="n"/>
      <c r="K20" s="30" t="n"/>
    </row>
    <row r="21">
      <c r="B21" s="30" t="n"/>
      <c r="C21" s="30" t="n"/>
      <c r="D21" s="30" t="n"/>
      <c r="E21" s="30" t="n"/>
      <c r="F21" s="30" t="n"/>
      <c r="G21" s="30" t="n"/>
      <c r="H21" s="30" t="n"/>
      <c r="I21" s="30" t="n"/>
      <c r="J21" s="30" t="n"/>
      <c r="K21" s="30" t="n"/>
    </row>
    <row r="22">
      <c r="B22" s="30" t="n"/>
      <c r="C22" s="30" t="n"/>
      <c r="D22" s="30" t="n"/>
      <c r="E22" s="30" t="n"/>
      <c r="F22" s="30" t="n"/>
      <c r="G22" s="30" t="n"/>
      <c r="H22" s="30" t="n"/>
      <c r="I22" s="30" t="n"/>
      <c r="J22" s="30" t="n"/>
      <c r="K22" s="30" t="n"/>
    </row>
    <row r="23">
      <c r="B23" s="30" t="n"/>
      <c r="C23" s="30" t="n"/>
      <c r="D23" s="30" t="n"/>
      <c r="E23" s="30" t="n"/>
      <c r="F23" s="30" t="n"/>
      <c r="G23" s="30" t="n"/>
      <c r="H23" s="30" t="n"/>
      <c r="I23" s="30" t="n"/>
      <c r="J23" s="30" t="n"/>
      <c r="K23" s="30" t="n"/>
    </row>
    <row r="24">
      <c r="B24" s="30" t="n"/>
      <c r="C24" s="30" t="n"/>
      <c r="D24" s="30" t="n"/>
      <c r="E24" s="30" t="n"/>
      <c r="F24" s="30" t="n"/>
      <c r="G24" s="30" t="n"/>
      <c r="H24" s="30" t="n"/>
      <c r="I24" s="30" t="n"/>
      <c r="J24" s="30" t="n"/>
      <c r="K24" s="30" t="n"/>
    </row>
    <row r="27">
      <c r="B27" s="10" t="inlineStr">
        <is>
          <t>DETAIL (PIVOTTABLES)</t>
        </is>
      </c>
    </row>
    <row r="28">
      <c r="B28" s="29" t="inlineStr">
        <is>
          <t>[ Stock by Location (PivotTable)  —  Placeholder, built in Phase 4 ]</t>
        </is>
      </c>
      <c r="C28" s="30" t="n"/>
      <c r="D28" s="30" t="n"/>
      <c r="E28" s="30" t="n"/>
      <c r="F28" s="30" t="n"/>
      <c r="G28" s="29" t="inlineStr">
        <is>
          <t>[ Low Stock List (Table)  —  Placeholder, built in Phase 4 ]</t>
        </is>
      </c>
      <c r="H28" s="30" t="n"/>
      <c r="I28" s="30" t="n"/>
      <c r="J28" s="30" t="n"/>
      <c r="K28" s="30" t="n"/>
    </row>
    <row r="29">
      <c r="B29" s="30" t="n"/>
      <c r="C29" s="30" t="n"/>
      <c r="D29" s="30" t="n"/>
      <c r="E29" s="30" t="n"/>
      <c r="F29" s="30" t="n"/>
      <c r="G29" s="30" t="n"/>
      <c r="H29" s="30" t="n"/>
      <c r="I29" s="30" t="n"/>
      <c r="J29" s="30" t="n"/>
      <c r="K29" s="30" t="n"/>
    </row>
    <row r="30">
      <c r="B30" s="30" t="n"/>
      <c r="C30" s="30" t="n"/>
      <c r="D30" s="30" t="n"/>
      <c r="E30" s="30" t="n"/>
      <c r="F30" s="30" t="n"/>
      <c r="G30" s="30" t="n"/>
      <c r="H30" s="30" t="n"/>
      <c r="I30" s="30" t="n"/>
      <c r="J30" s="30" t="n"/>
      <c r="K30" s="30" t="n"/>
    </row>
    <row r="31">
      <c r="B31" s="30" t="n"/>
      <c r="C31" s="30" t="n"/>
      <c r="D31" s="30" t="n"/>
      <c r="E31" s="30" t="n"/>
      <c r="F31" s="30" t="n"/>
      <c r="G31" s="30" t="n"/>
      <c r="H31" s="30" t="n"/>
      <c r="I31" s="30" t="n"/>
      <c r="J31" s="30" t="n"/>
      <c r="K31" s="30" t="n"/>
    </row>
    <row r="32">
      <c r="B32" s="30" t="n"/>
      <c r="C32" s="30" t="n"/>
      <c r="D32" s="30" t="n"/>
      <c r="E32" s="30" t="n"/>
      <c r="F32" s="30" t="n"/>
      <c r="G32" s="30" t="n"/>
      <c r="H32" s="30" t="n"/>
      <c r="I32" s="30" t="n"/>
      <c r="J32" s="30" t="n"/>
      <c r="K32" s="30" t="n"/>
    </row>
    <row r="33">
      <c r="B33" s="30" t="n"/>
      <c r="C33" s="30" t="n"/>
      <c r="D33" s="30" t="n"/>
      <c r="E33" s="30" t="n"/>
      <c r="F33" s="30" t="n"/>
      <c r="G33" s="30" t="n"/>
      <c r="H33" s="30" t="n"/>
      <c r="I33" s="30" t="n"/>
      <c r="J33" s="30" t="n"/>
      <c r="K33" s="30" t="n"/>
    </row>
    <row r="34">
      <c r="B34" s="30" t="n"/>
      <c r="C34" s="30" t="n"/>
      <c r="D34" s="30" t="n"/>
      <c r="E34" s="30" t="n"/>
      <c r="F34" s="30" t="n"/>
      <c r="G34" s="30" t="n"/>
      <c r="H34" s="30" t="n"/>
      <c r="I34" s="30" t="n"/>
      <c r="J34" s="30" t="n"/>
      <c r="K34" s="30" t="n"/>
    </row>
    <row r="35">
      <c r="B35" s="30" t="n"/>
      <c r="C35" s="30" t="n"/>
      <c r="D35" s="30" t="n"/>
      <c r="E35" s="30" t="n"/>
      <c r="F35" s="30" t="n"/>
      <c r="G35" s="30" t="n"/>
      <c r="H35" s="30" t="n"/>
      <c r="I35" s="30" t="n"/>
      <c r="J35" s="30" t="n"/>
      <c r="K35" s="30" t="n"/>
    </row>
    <row r="36">
      <c r="B36" s="30" t="n"/>
      <c r="C36" s="30" t="n"/>
      <c r="D36" s="30" t="n"/>
      <c r="E36" s="30" t="n"/>
      <c r="F36" s="30" t="n"/>
      <c r="G36" s="30" t="n"/>
      <c r="H36" s="30" t="n"/>
      <c r="I36" s="30" t="n"/>
      <c r="J36" s="30" t="n"/>
      <c r="K36" s="30" t="n"/>
    </row>
    <row r="37">
      <c r="B37" s="30" t="n"/>
      <c r="C37" s="30" t="n"/>
      <c r="D37" s="30" t="n"/>
      <c r="E37" s="30" t="n"/>
      <c r="F37" s="30" t="n"/>
      <c r="G37" s="30" t="n"/>
      <c r="H37" s="30" t="n"/>
      <c r="I37" s="30" t="n"/>
      <c r="J37" s="30" t="n"/>
      <c r="K37" s="30" t="n"/>
    </row>
    <row r="39">
      <c r="B39" s="29" t="inlineStr">
        <is>
          <t>[ Inventory Valuation (PivotTable)  —  Placeholder, built in Phase 4 ]</t>
        </is>
      </c>
      <c r="C39" s="30" t="n"/>
      <c r="D39" s="30" t="n"/>
      <c r="E39" s="30" t="n"/>
      <c r="F39" s="30" t="n"/>
    </row>
    <row r="40">
      <c r="B40" s="30" t="n"/>
      <c r="C40" s="30" t="n"/>
      <c r="D40" s="30" t="n"/>
      <c r="E40" s="30" t="n"/>
      <c r="F40" s="30" t="n"/>
    </row>
    <row r="41">
      <c r="B41" s="30" t="n"/>
      <c r="C41" s="30" t="n"/>
      <c r="D41" s="30" t="n"/>
      <c r="E41" s="30" t="n"/>
      <c r="F41" s="30" t="n"/>
    </row>
    <row r="42">
      <c r="B42" s="30" t="n"/>
      <c r="C42" s="30" t="n"/>
      <c r="D42" s="30" t="n"/>
      <c r="E42" s="30" t="n"/>
      <c r="F42" s="30" t="n"/>
    </row>
    <row r="43">
      <c r="B43" s="30" t="n"/>
      <c r="C43" s="30" t="n"/>
      <c r="D43" s="30" t="n"/>
      <c r="E43" s="30" t="n"/>
      <c r="F43" s="30" t="n"/>
    </row>
    <row r="44">
      <c r="B44" s="30" t="n"/>
      <c r="C44" s="30" t="n"/>
      <c r="D44" s="30" t="n"/>
      <c r="E44" s="30" t="n"/>
      <c r="F44" s="30" t="n"/>
    </row>
    <row r="45">
      <c r="B45" s="30" t="n"/>
      <c r="C45" s="30" t="n"/>
      <c r="D45" s="30" t="n"/>
      <c r="E45" s="30" t="n"/>
      <c r="F45" s="30" t="n"/>
    </row>
    <row r="46">
      <c r="B46" s="30" t="n"/>
      <c r="C46" s="30" t="n"/>
      <c r="D46" s="30" t="n"/>
      <c r="E46" s="30" t="n"/>
      <c r="F46" s="30" t="n"/>
    </row>
    <row r="47">
      <c r="B47" s="30" t="n"/>
      <c r="C47" s="30" t="n"/>
      <c r="D47" s="30" t="n"/>
      <c r="E47" s="30" t="n"/>
      <c r="F47" s="30" t="n"/>
    </row>
    <row r="48">
      <c r="B48" s="30" t="n"/>
      <c r="C48" s="30" t="n"/>
      <c r="D48" s="30" t="n"/>
      <c r="E48" s="30" t="n"/>
      <c r="F48" s="30" t="n"/>
    </row>
  </sheetData>
  <sheetProtection selectLockedCells="0" selectUnlockedCells="0" sheet="1" objects="0" insertRows="0" insertHyperlinks="1" autoFilter="1" scenarios="0" formatColumns="0" deleteColumns="0" insertColumns="0" pivotTables="0" deleteRows="0" formatCells="0" formatRows="0" sort="1" password="C24F"/>
  <mergeCells count="20">
    <mergeCell ref="B4:L4"/>
    <mergeCell ref="F11:G11"/>
    <mergeCell ref="B7:L7"/>
    <mergeCell ref="D12:E13"/>
    <mergeCell ref="A3:L3"/>
    <mergeCell ref="B39:F48"/>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tabColor rgb="00404040"/>
    <outlinePr applyStyles="1" summaryBelow="0" summaryRight="1"/>
    <pageSetUpPr/>
  </sheetPr>
  <dimension ref="A1:L45"/>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Finance</t>
        </is>
      </c>
    </row>
    <row r="2" ht="16" customHeight="1">
      <c r="A2" s="15" t="inlineStr">
        <is>
          <t>PASSRESS MIS   |   Home ▸ Finance</t>
        </is>
      </c>
    </row>
    <row r="3" ht="14" customHeight="1">
      <c r="A3" s="3" t="inlineStr">
        <is>
          <t>Sheet Documentation  (use the  +  outline control at left to expand)</t>
        </is>
      </c>
    </row>
    <row r="4" hidden="1" outlineLevel="1" ht="13" customHeight="1">
      <c r="A4" s="4" t="inlineStr">
        <is>
          <t>Purpose</t>
        </is>
      </c>
      <c r="B4" s="5" t="inlineStr">
        <is>
          <t>Core management-basis financial statements — Profit &amp; Loss and Cash Flow summary (not audited books).</t>
        </is>
      </c>
    </row>
    <row r="5" hidden="1" outlineLevel="1" ht="13" customHeight="1">
      <c r="A5" s="4" t="inlineStr">
        <is>
          <t>Input tables</t>
        </is>
      </c>
      <c r="B5" s="5" t="inlineStr">
        <is>
          <t>FACT_OrderLines, FACT_ManualExpenses, FACT_Payments, Chart of Accounts mapping (15_Settings).</t>
        </is>
      </c>
    </row>
    <row r="6" hidden="1" outlineLevel="1" ht="13" customHeight="1">
      <c r="A6" s="4" t="inlineStr">
        <is>
          <t>Output tables</t>
        </is>
      </c>
      <c r="B6" s="5" t="inlineStr">
        <is>
          <t>Finance KPI row, P&amp;L Statement, Cash Flow Statement.</t>
        </is>
      </c>
    </row>
    <row r="7" hidden="1" outlineLevel="1" ht="13" customHeight="1">
      <c r="A7" s="4" t="inlineStr">
        <is>
          <t>Relationships</t>
        </is>
      </c>
      <c r="B7" s="5" t="inlineStr">
        <is>
          <t>Combines Shopify-sourced facts with manually entered FACT_ManualExpenses, categorized via the Chart of Accounts mapping table.</t>
        </is>
      </c>
    </row>
    <row r="8" hidden="1" outlineLevel="1" ht="13" customHeight="1">
      <c r="A8" s="4" t="inlineStr">
        <is>
          <t>Future data source</t>
        </is>
      </c>
      <c r="B8" s="5" t="inlineStr">
        <is>
          <t>Data Model measures, built on top of RAW_Orders + FACT_ManualExpenses — Phase 3/4.</t>
        </is>
      </c>
    </row>
    <row r="9" hidden="1" outlineLevel="1"/>
    <row r="10" ht="6" customHeight="1"/>
    <row r="11" ht="15" customHeight="1">
      <c r="B11" s="6" t="inlineStr">
        <is>
          <t>NET SALES</t>
        </is>
      </c>
      <c r="C11" s="7" t="n"/>
      <c r="D11" s="6" t="inlineStr">
        <is>
          <t>TOTAL EXPENSES</t>
        </is>
      </c>
      <c r="E11" s="7" t="n"/>
      <c r="F11" s="6" t="inlineStr">
        <is>
          <t>NET PROFIT</t>
        </is>
      </c>
      <c r="G11" s="7" t="n"/>
      <c r="H11" s="6" t="inlineStr">
        <is>
          <t>CASH BALANCE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29" t="inlineStr">
        <is>
          <t>[ P&amp;L Trend (Chart)  —  Placeholder, built in Phase 4 ]</t>
        </is>
      </c>
      <c r="C17" s="30" t="n"/>
      <c r="D17" s="30" t="n"/>
      <c r="E17" s="30" t="n"/>
      <c r="F17" s="30" t="n"/>
      <c r="G17" s="30" t="n"/>
      <c r="H17" s="30" t="n"/>
      <c r="I17" s="30" t="n"/>
      <c r="J17" s="30" t="n"/>
      <c r="K17" s="30" t="n"/>
    </row>
    <row r="18">
      <c r="B18" s="30" t="n"/>
      <c r="C18" s="30" t="n"/>
      <c r="D18" s="30" t="n"/>
      <c r="E18" s="30" t="n"/>
      <c r="F18" s="30" t="n"/>
      <c r="G18" s="30" t="n"/>
      <c r="H18" s="30" t="n"/>
      <c r="I18" s="30" t="n"/>
      <c r="J18" s="30" t="n"/>
      <c r="K18" s="30" t="n"/>
    </row>
    <row r="19">
      <c r="B19" s="30" t="n"/>
      <c r="C19" s="30" t="n"/>
      <c r="D19" s="30" t="n"/>
      <c r="E19" s="30" t="n"/>
      <c r="F19" s="30" t="n"/>
      <c r="G19" s="30" t="n"/>
      <c r="H19" s="30" t="n"/>
      <c r="I19" s="30" t="n"/>
      <c r="J19" s="30" t="n"/>
      <c r="K19" s="30" t="n"/>
    </row>
    <row r="20">
      <c r="B20" s="30" t="n"/>
      <c r="C20" s="30" t="n"/>
      <c r="D20" s="30" t="n"/>
      <c r="E20" s="30" t="n"/>
      <c r="F20" s="30" t="n"/>
      <c r="G20" s="30" t="n"/>
      <c r="H20" s="30" t="n"/>
      <c r="I20" s="30" t="n"/>
      <c r="J20" s="30" t="n"/>
      <c r="K20" s="30" t="n"/>
    </row>
    <row r="21">
      <c r="B21" s="30" t="n"/>
      <c r="C21" s="30" t="n"/>
      <c r="D21" s="30" t="n"/>
      <c r="E21" s="30" t="n"/>
      <c r="F21" s="30" t="n"/>
      <c r="G21" s="30" t="n"/>
      <c r="H21" s="30" t="n"/>
      <c r="I21" s="30" t="n"/>
      <c r="J21" s="30" t="n"/>
      <c r="K21" s="30" t="n"/>
    </row>
    <row r="22">
      <c r="B22" s="30" t="n"/>
      <c r="C22" s="30" t="n"/>
      <c r="D22" s="30" t="n"/>
      <c r="E22" s="30" t="n"/>
      <c r="F22" s="30" t="n"/>
      <c r="G22" s="30" t="n"/>
      <c r="H22" s="30" t="n"/>
      <c r="I22" s="30" t="n"/>
      <c r="J22" s="30" t="n"/>
      <c r="K22" s="30" t="n"/>
    </row>
    <row r="23">
      <c r="B23" s="30" t="n"/>
      <c r="C23" s="30" t="n"/>
      <c r="D23" s="30" t="n"/>
      <c r="E23" s="30" t="n"/>
      <c r="F23" s="30" t="n"/>
      <c r="G23" s="30" t="n"/>
      <c r="H23" s="30" t="n"/>
      <c r="I23" s="30" t="n"/>
      <c r="J23" s="30" t="n"/>
      <c r="K23" s="30" t="n"/>
    </row>
    <row r="24">
      <c r="B24" s="30" t="n"/>
      <c r="C24" s="30" t="n"/>
      <c r="D24" s="30" t="n"/>
      <c r="E24" s="30" t="n"/>
      <c r="F24" s="30" t="n"/>
      <c r="G24" s="30" t="n"/>
      <c r="H24" s="30" t="n"/>
      <c r="I24" s="30" t="n"/>
      <c r="J24" s="30" t="n"/>
      <c r="K24" s="30" t="n"/>
    </row>
    <row r="27">
      <c r="B27" s="10" t="inlineStr">
        <is>
          <t>DETAIL (PIVOTTABLES)</t>
        </is>
      </c>
    </row>
    <row r="28">
      <c r="B28" s="29" t="inlineStr">
        <is>
          <t>[ P&amp;L Statement (PivotTable)  —  Placeholder, built in Phase 4 ]</t>
        </is>
      </c>
      <c r="C28" s="30" t="n"/>
      <c r="D28" s="30" t="n"/>
      <c r="E28" s="30" t="n"/>
      <c r="F28" s="30" t="n"/>
      <c r="G28" s="29" t="inlineStr">
        <is>
          <t>[ Cash Flow Statement (PivotTable)  —  Placeholder, built in Phase 4 ]</t>
        </is>
      </c>
      <c r="H28" s="30" t="n"/>
      <c r="I28" s="30" t="n"/>
      <c r="J28" s="30" t="n"/>
      <c r="K28" s="30" t="n"/>
    </row>
    <row r="29">
      <c r="B29" s="30" t="n"/>
      <c r="C29" s="30" t="n"/>
      <c r="D29" s="30" t="n"/>
      <c r="E29" s="30" t="n"/>
      <c r="F29" s="30" t="n"/>
      <c r="G29" s="30" t="n"/>
      <c r="H29" s="30" t="n"/>
      <c r="I29" s="30" t="n"/>
      <c r="J29" s="30" t="n"/>
      <c r="K29" s="30" t="n"/>
    </row>
    <row r="30">
      <c r="B30" s="30" t="n"/>
      <c r="C30" s="30" t="n"/>
      <c r="D30" s="30" t="n"/>
      <c r="E30" s="30" t="n"/>
      <c r="F30" s="30" t="n"/>
      <c r="G30" s="30" t="n"/>
      <c r="H30" s="30" t="n"/>
      <c r="I30" s="30" t="n"/>
      <c r="J30" s="30" t="n"/>
      <c r="K30" s="30" t="n"/>
    </row>
    <row r="31">
      <c r="B31" s="30" t="n"/>
      <c r="C31" s="30" t="n"/>
      <c r="D31" s="30" t="n"/>
      <c r="E31" s="30" t="n"/>
      <c r="F31" s="30" t="n"/>
      <c r="G31" s="30" t="n"/>
      <c r="H31" s="30" t="n"/>
      <c r="I31" s="30" t="n"/>
      <c r="J31" s="30" t="n"/>
      <c r="K31" s="30" t="n"/>
    </row>
    <row r="32">
      <c r="B32" s="30" t="n"/>
      <c r="C32" s="30" t="n"/>
      <c r="D32" s="30" t="n"/>
      <c r="E32" s="30" t="n"/>
      <c r="F32" s="30" t="n"/>
      <c r="G32" s="30" t="n"/>
      <c r="H32" s="30" t="n"/>
      <c r="I32" s="30" t="n"/>
      <c r="J32" s="30" t="n"/>
      <c r="K32" s="30" t="n"/>
    </row>
    <row r="33">
      <c r="B33" s="30" t="n"/>
      <c r="C33" s="30" t="n"/>
      <c r="D33" s="30" t="n"/>
      <c r="E33" s="30" t="n"/>
      <c r="F33" s="30" t="n"/>
      <c r="G33" s="30" t="n"/>
      <c r="H33" s="30" t="n"/>
      <c r="I33" s="30" t="n"/>
      <c r="J33" s="30" t="n"/>
      <c r="K33" s="30" t="n"/>
    </row>
    <row r="34">
      <c r="B34" s="30" t="n"/>
      <c r="C34" s="30" t="n"/>
      <c r="D34" s="30" t="n"/>
      <c r="E34" s="30" t="n"/>
      <c r="F34" s="30" t="n"/>
      <c r="G34" s="30" t="n"/>
      <c r="H34" s="30" t="n"/>
      <c r="I34" s="30" t="n"/>
      <c r="J34" s="30" t="n"/>
      <c r="K34" s="30" t="n"/>
    </row>
    <row r="35">
      <c r="B35" s="30" t="n"/>
      <c r="C35" s="30" t="n"/>
      <c r="D35" s="30" t="n"/>
      <c r="E35" s="30" t="n"/>
      <c r="F35" s="30" t="n"/>
      <c r="G35" s="30" t="n"/>
      <c r="H35" s="30" t="n"/>
      <c r="I35" s="30" t="n"/>
      <c r="J35" s="30" t="n"/>
      <c r="K35" s="30" t="n"/>
    </row>
    <row r="36">
      <c r="B36" s="30" t="n"/>
      <c r="C36" s="30" t="n"/>
      <c r="D36" s="30" t="n"/>
      <c r="E36" s="30" t="n"/>
      <c r="F36" s="30" t="n"/>
      <c r="G36" s="30" t="n"/>
      <c r="H36" s="30" t="n"/>
      <c r="I36" s="30" t="n"/>
      <c r="J36" s="30" t="n"/>
      <c r="K36" s="30" t="n"/>
    </row>
    <row r="37">
      <c r="B37" s="30" t="n"/>
      <c r="C37" s="30" t="n"/>
      <c r="D37" s="30" t="n"/>
      <c r="E37" s="30" t="n"/>
      <c r="F37" s="30" t="n"/>
      <c r="G37" s="30" t="n"/>
      <c r="H37" s="30" t="n"/>
      <c r="I37" s="30" t="n"/>
      <c r="J37" s="30" t="n"/>
      <c r="K37" s="30" t="n"/>
    </row>
    <row r="41">
      <c r="B41" s="31" t="inlineStr">
        <is>
          <t>BUDGET  (Phase 5 — green cells = type here; Budget ID is automatic)</t>
        </is>
      </c>
    </row>
    <row r="42" ht="20" customHeight="1">
      <c r="B42" s="32" t="inlineStr">
        <is>
          <t>Leave Month blank for a YEARLY budget line (the whole year's target for that Year+Category); fill in Month for a MONTHLY line. dax/MEASURES_PHASE5.md's [Budget Variance] / [Forecast vs Budget] measures match Actuals to whichever grain a report is built at.</t>
        </is>
      </c>
    </row>
    <row r="44" ht="18" customHeight="1">
      <c r="B44" s="33" t="inlineStr">
        <is>
          <t>Budget ID</t>
        </is>
      </c>
      <c r="C44" s="33" t="inlineStr">
        <is>
          <t>Year</t>
        </is>
      </c>
      <c r="D44" s="33" t="inlineStr">
        <is>
          <t>Month</t>
        </is>
      </c>
      <c r="E44" s="33" t="inlineStr">
        <is>
          <t>Category</t>
        </is>
      </c>
      <c r="F44" s="33" t="inlineStr">
        <is>
          <t>Budget Amount</t>
        </is>
      </c>
      <c r="G44" s="33" t="inlineStr">
        <is>
          <t>Notes</t>
        </is>
      </c>
    </row>
    <row r="45">
      <c r="B45" s="27">
        <f>"BUD-"&amp;TEXT(ROW()-44,"00000")</f>
        <v/>
      </c>
      <c r="C45" s="34" t="n">
        <v>2026</v>
      </c>
      <c r="D45" s="34" t="n"/>
      <c r="E45" s="34" t="inlineStr">
        <is>
          <t>Revenue</t>
        </is>
      </c>
      <c r="F45" s="34" t="n">
        <v>500000</v>
      </c>
      <c r="G45" s="34" t="inlineStr">
        <is>
          <t>EXAMPLE — 2026 annual revenue budget</t>
        </is>
      </c>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dataValidations count="1">
    <dataValidation sqref="E45:E501" showDropDown="0" showInputMessage="1" showErrorMessage="1" allowBlank="1" errorTitle="Invalid entry" error="Please choose a value from the Category list — free text isn't accepted here." promptTitle="Category" prompt="Revenue, Expense, Marketing, Purchasing, or Profit — from the list on 15_Settings." type="list" errorStyle="stop">
      <formula1>=LookupBudgetCategory</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Profitability</t>
        </is>
      </c>
    </row>
    <row r="2" ht="16" customHeight="1">
      <c r="A2" s="15" t="inlineStr">
        <is>
          <t>PASSRESS MIS   |   Home ▸ Profitability</t>
        </is>
      </c>
    </row>
    <row r="3" ht="14" customHeight="1">
      <c r="A3" s="3" t="inlineStr">
        <is>
          <t>Sheet Documentation  (use the  +  outline control at left to expand)</t>
        </is>
      </c>
    </row>
    <row r="4" hidden="1" outlineLevel="1" ht="13" customHeight="1">
      <c r="A4" s="4" t="inlineStr">
        <is>
          <t>Purpose</t>
        </is>
      </c>
      <c r="B4" s="5" t="inlineStr">
        <is>
          <t>Margin analysis — gross margin, contribution margin, and profitability by product, collection, and channel.</t>
        </is>
      </c>
    </row>
    <row r="5" hidden="1" outlineLevel="1" ht="13" customHeight="1">
      <c r="A5" s="4" t="inlineStr">
        <is>
          <t>Input tables</t>
        </is>
      </c>
      <c r="B5" s="5" t="inlineStr">
        <is>
          <t>FACT_OrderLines, DIM_Product, DIM_Collection.</t>
        </is>
      </c>
    </row>
    <row r="6" hidden="1" outlineLevel="1" ht="13" customHeight="1">
      <c r="A6" s="4" t="inlineStr">
        <is>
          <t>Output tables</t>
        </is>
      </c>
      <c r="B6" s="5" t="inlineStr">
        <is>
          <t>Profitability KPI row, Margin-by-Product / Margin-by-Collection tables, Margin Trend chart.</t>
        </is>
      </c>
    </row>
    <row r="7" hidden="1" outlineLevel="1" ht="13" customHeight="1">
      <c r="A7" s="4" t="inlineStr">
        <is>
          <t>Relationships</t>
        </is>
      </c>
      <c r="B7" s="5" t="inlineStr">
        <is>
          <t>FACT_OrderLines carries both revenue and COGS at line grain, enabling margin by any dimension.</t>
        </is>
      </c>
    </row>
    <row r="8" hidden="1" outlineLevel="1" ht="13" customHeight="1">
      <c r="A8" s="4" t="inlineStr">
        <is>
          <t>Future data source</t>
        </is>
      </c>
      <c r="B8" s="5" t="inlineStr">
        <is>
          <t>Data Model measures — Phase 3/4.</t>
        </is>
      </c>
    </row>
    <row r="9" hidden="1" outlineLevel="1"/>
    <row r="10" ht="6" customHeight="1"/>
    <row r="11" ht="15" customHeight="1">
      <c r="B11" s="6" t="inlineStr">
        <is>
          <t>GROSS MARGIN %</t>
        </is>
      </c>
      <c r="C11" s="7" t="n"/>
      <c r="D11" s="6" t="inlineStr">
        <is>
          <t>CONTRIBUTION MARGIN %</t>
        </is>
      </c>
      <c r="E11" s="7" t="n"/>
      <c r="F11" s="6" t="inlineStr">
        <is>
          <t>BEST MARGIN CATEGORY</t>
        </is>
      </c>
      <c r="G11" s="7" t="n"/>
      <c r="H11" s="6" t="inlineStr">
        <is>
          <t>WORST MARGIN CATEGORY</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29" t="inlineStr">
        <is>
          <t>[ Margin Trend (Chart)  —  Placeholder, built in Phase 4 ]</t>
        </is>
      </c>
      <c r="C17" s="30" t="n"/>
      <c r="D17" s="30" t="n"/>
      <c r="E17" s="30" t="n"/>
      <c r="F17" s="30" t="n"/>
      <c r="G17" s="30" t="n"/>
      <c r="H17" s="30" t="n"/>
      <c r="I17" s="30" t="n"/>
      <c r="J17" s="30" t="n"/>
      <c r="K17" s="30" t="n"/>
    </row>
    <row r="18">
      <c r="B18" s="30" t="n"/>
      <c r="C18" s="30" t="n"/>
      <c r="D18" s="30" t="n"/>
      <c r="E18" s="30" t="n"/>
      <c r="F18" s="30" t="n"/>
      <c r="G18" s="30" t="n"/>
      <c r="H18" s="30" t="n"/>
      <c r="I18" s="30" t="n"/>
      <c r="J18" s="30" t="n"/>
      <c r="K18" s="30" t="n"/>
    </row>
    <row r="19">
      <c r="B19" s="30" t="n"/>
      <c r="C19" s="30" t="n"/>
      <c r="D19" s="30" t="n"/>
      <c r="E19" s="30" t="n"/>
      <c r="F19" s="30" t="n"/>
      <c r="G19" s="30" t="n"/>
      <c r="H19" s="30" t="n"/>
      <c r="I19" s="30" t="n"/>
      <c r="J19" s="30" t="n"/>
      <c r="K19" s="30" t="n"/>
    </row>
    <row r="20">
      <c r="B20" s="30" t="n"/>
      <c r="C20" s="30" t="n"/>
      <c r="D20" s="30" t="n"/>
      <c r="E20" s="30" t="n"/>
      <c r="F20" s="30" t="n"/>
      <c r="G20" s="30" t="n"/>
      <c r="H20" s="30" t="n"/>
      <c r="I20" s="30" t="n"/>
      <c r="J20" s="30" t="n"/>
      <c r="K20" s="30" t="n"/>
    </row>
    <row r="21">
      <c r="B21" s="30" t="n"/>
      <c r="C21" s="30" t="n"/>
      <c r="D21" s="30" t="n"/>
      <c r="E21" s="30" t="n"/>
      <c r="F21" s="30" t="n"/>
      <c r="G21" s="30" t="n"/>
      <c r="H21" s="30" t="n"/>
      <c r="I21" s="30" t="n"/>
      <c r="J21" s="30" t="n"/>
      <c r="K21" s="30" t="n"/>
    </row>
    <row r="22">
      <c r="B22" s="30" t="n"/>
      <c r="C22" s="30" t="n"/>
      <c r="D22" s="30" t="n"/>
      <c r="E22" s="30" t="n"/>
      <c r="F22" s="30" t="n"/>
      <c r="G22" s="30" t="n"/>
      <c r="H22" s="30" t="n"/>
      <c r="I22" s="30" t="n"/>
      <c r="J22" s="30" t="n"/>
      <c r="K22" s="30" t="n"/>
    </row>
    <row r="23">
      <c r="B23" s="30" t="n"/>
      <c r="C23" s="30" t="n"/>
      <c r="D23" s="30" t="n"/>
      <c r="E23" s="30" t="n"/>
      <c r="F23" s="30" t="n"/>
      <c r="G23" s="30" t="n"/>
      <c r="H23" s="30" t="n"/>
      <c r="I23" s="30" t="n"/>
      <c r="J23" s="30" t="n"/>
      <c r="K23" s="30" t="n"/>
    </row>
    <row r="24">
      <c r="B24" s="30" t="n"/>
      <c r="C24" s="30" t="n"/>
      <c r="D24" s="30" t="n"/>
      <c r="E24" s="30" t="n"/>
      <c r="F24" s="30" t="n"/>
      <c r="G24" s="30" t="n"/>
      <c r="H24" s="30" t="n"/>
      <c r="I24" s="30" t="n"/>
      <c r="J24" s="30" t="n"/>
      <c r="K24" s="30" t="n"/>
    </row>
    <row r="27">
      <c r="B27" s="10" t="inlineStr">
        <is>
          <t>DETAIL (PIVOTTABLES)</t>
        </is>
      </c>
    </row>
    <row r="28">
      <c r="B28" s="29" t="inlineStr">
        <is>
          <t>[ Margin by Product (PivotTable)  —  Placeholder, built in Phase 4 ]</t>
        </is>
      </c>
      <c r="C28" s="30" t="n"/>
      <c r="D28" s="30" t="n"/>
      <c r="E28" s="30" t="n"/>
      <c r="F28" s="30" t="n"/>
      <c r="G28" s="29" t="inlineStr">
        <is>
          <t>[ Margin by Collection (PivotTable)  —  Placeholder, built in Phase 4 ]</t>
        </is>
      </c>
      <c r="H28" s="30" t="n"/>
      <c r="I28" s="30" t="n"/>
      <c r="J28" s="30" t="n"/>
      <c r="K28" s="30" t="n"/>
    </row>
    <row r="29">
      <c r="B29" s="30" t="n"/>
      <c r="C29" s="30" t="n"/>
      <c r="D29" s="30" t="n"/>
      <c r="E29" s="30" t="n"/>
      <c r="F29" s="30" t="n"/>
      <c r="G29" s="30" t="n"/>
      <c r="H29" s="30" t="n"/>
      <c r="I29" s="30" t="n"/>
      <c r="J29" s="30" t="n"/>
      <c r="K29" s="30" t="n"/>
    </row>
    <row r="30">
      <c r="B30" s="30" t="n"/>
      <c r="C30" s="30" t="n"/>
      <c r="D30" s="30" t="n"/>
      <c r="E30" s="30" t="n"/>
      <c r="F30" s="30" t="n"/>
      <c r="G30" s="30" t="n"/>
      <c r="H30" s="30" t="n"/>
      <c r="I30" s="30" t="n"/>
      <c r="J30" s="30" t="n"/>
      <c r="K30" s="30" t="n"/>
    </row>
    <row r="31">
      <c r="B31" s="30" t="n"/>
      <c r="C31" s="30" t="n"/>
      <c r="D31" s="30" t="n"/>
      <c r="E31" s="30" t="n"/>
      <c r="F31" s="30" t="n"/>
      <c r="G31" s="30" t="n"/>
      <c r="H31" s="30" t="n"/>
      <c r="I31" s="30" t="n"/>
      <c r="J31" s="30" t="n"/>
      <c r="K31" s="30" t="n"/>
    </row>
    <row r="32">
      <c r="B32" s="30" t="n"/>
      <c r="C32" s="30" t="n"/>
      <c r="D32" s="30" t="n"/>
      <c r="E32" s="30" t="n"/>
      <c r="F32" s="30" t="n"/>
      <c r="G32" s="30" t="n"/>
      <c r="H32" s="30" t="n"/>
      <c r="I32" s="30" t="n"/>
      <c r="J32" s="30" t="n"/>
      <c r="K32" s="30" t="n"/>
    </row>
    <row r="33">
      <c r="B33" s="30" t="n"/>
      <c r="C33" s="30" t="n"/>
      <c r="D33" s="30" t="n"/>
      <c r="E33" s="30" t="n"/>
      <c r="F33" s="30" t="n"/>
      <c r="G33" s="30" t="n"/>
      <c r="H33" s="30" t="n"/>
      <c r="I33" s="30" t="n"/>
      <c r="J33" s="30" t="n"/>
      <c r="K33" s="30" t="n"/>
    </row>
    <row r="34">
      <c r="B34" s="30" t="n"/>
      <c r="C34" s="30" t="n"/>
      <c r="D34" s="30" t="n"/>
      <c r="E34" s="30" t="n"/>
      <c r="F34" s="30" t="n"/>
      <c r="G34" s="30" t="n"/>
      <c r="H34" s="30" t="n"/>
      <c r="I34" s="30" t="n"/>
      <c r="J34" s="30" t="n"/>
      <c r="K34" s="30" t="n"/>
    </row>
    <row r="35">
      <c r="B35" s="30" t="n"/>
      <c r="C35" s="30" t="n"/>
      <c r="D35" s="30" t="n"/>
      <c r="E35" s="30" t="n"/>
      <c r="F35" s="30" t="n"/>
      <c r="G35" s="30" t="n"/>
      <c r="H35" s="30" t="n"/>
      <c r="I35" s="30" t="n"/>
      <c r="J35" s="30" t="n"/>
      <c r="K35" s="30" t="n"/>
    </row>
    <row r="36">
      <c r="B36" s="30" t="n"/>
      <c r="C36" s="30" t="n"/>
      <c r="D36" s="30" t="n"/>
      <c r="E36" s="30" t="n"/>
      <c r="F36" s="30" t="n"/>
      <c r="G36" s="30" t="n"/>
      <c r="H36" s="30" t="n"/>
      <c r="I36" s="30" t="n"/>
      <c r="J36" s="30" t="n"/>
      <c r="K36" s="30" t="n"/>
    </row>
    <row r="37">
      <c r="B37" s="30" t="n"/>
      <c r="C37" s="30" t="n"/>
      <c r="D37" s="30" t="n"/>
      <c r="E37" s="30" t="n"/>
      <c r="F37" s="30" t="n"/>
      <c r="G37" s="30" t="n"/>
      <c r="H37" s="30" t="n"/>
      <c r="I37" s="30" t="n"/>
      <c r="J37" s="30" t="n"/>
      <c r="K37" s="30"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10.xml><?xml version="1.0" encoding="utf-8"?>
<worksheet xmlns="http://schemas.openxmlformats.org/spreadsheetml/2006/main">
  <sheetPr>
    <tabColor rgb="00375623"/>
    <outlinePr applyStyles="1" summaryBelow="0" summaryRight="1"/>
    <pageSetUpPr/>
  </sheetPr>
  <dimension ref="A1:R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2" customWidth="1" min="3" max="3"/>
    <col width="16" customWidth="1" min="4" max="4"/>
    <col width="16" customWidth="1" min="5" max="5"/>
    <col width="16" customWidth="1" min="6" max="6"/>
    <col width="11" customWidth="1" min="7" max="7"/>
    <col width="10" customWidth="1" min="8" max="8"/>
    <col width="13" customWidth="1" min="9" max="9"/>
    <col width="15" customWidth="1" min="10" max="10"/>
    <col width="12" customWidth="1" min="11" max="11"/>
    <col width="12" customWidth="1" min="12" max="12"/>
    <col width="20" customWidth="1" min="13" max="13"/>
    <col width="14" customWidth="1" min="14" max="14"/>
    <col width="14" customWidth="1" min="15" max="15"/>
    <col width="16" customWidth="1" min="16" max="16"/>
    <col width="18" customWidth="1" min="17" max="17"/>
    <col width="15" customWidth="1" min="18" max="18"/>
  </cols>
  <sheetData>
    <row r="1" ht="34" customHeight="1">
      <c r="A1" s="1" t="inlineStr">
        <is>
          <t>Expenses</t>
        </is>
      </c>
    </row>
    <row r="2" ht="16" customHeight="1">
      <c r="A2" s="15" t="inlineStr">
        <is>
          <t>PASSRESS MIS   |   Home ▸ Expenses</t>
        </is>
      </c>
    </row>
    <row r="3" ht="14" customHeight="1">
      <c r="A3" s="3" t="inlineStr">
        <is>
          <t>Sheet Documentation  (use the  +  outline control at left to expand)</t>
        </is>
      </c>
    </row>
    <row r="4" hidden="1" outlineLevel="1" ht="13" customHeight="1">
      <c r="A4" s="4" t="inlineStr">
        <is>
          <t>Purpose</t>
        </is>
      </c>
      <c r="B4" s="5" t="inlineStr">
        <is>
          <t>Complete operating-expense entry module — the manual-entry source for costs that do not come from Shopify (rent, salaries, ad spend, shipping, etc.), with category/subcategory lookups, optional SKU/Collection attribution, cost-center tagging, document references, and duplicate detection.</t>
        </is>
      </c>
    </row>
    <row r="5" hidden="1" outlineLevel="1" ht="13" customHeight="1">
      <c r="A5" s="4" t="inlineStr">
        <is>
          <t>Input tables</t>
        </is>
      </c>
      <c r="B5" s="5" t="inlineStr">
        <is>
          <t>15_Settings lookup tables (Expense Category, Expense Subcategory, Payment Method, Currency, Cost Center), tbl_SupplierMaster (12_Suppliers), RAW_Variants / RAW_Collections (live Shopify SKUs/collections).</t>
        </is>
      </c>
    </row>
    <row r="6" hidden="1" outlineLevel="1" ht="13" customHeight="1">
      <c r="A6" s="4" t="inlineStr">
        <is>
          <t>Output tables</t>
        </is>
      </c>
      <c r="B6" s="5" t="inlineStr">
        <is>
          <t>FACT_ManualExpenses (Data Model-ready hidden mirror).</t>
        </is>
      </c>
    </row>
    <row r="7" hidden="1" outlineLevel="1" ht="13" customHeight="1">
      <c r="A7" s="4" t="inlineStr">
        <is>
          <t>Relationships</t>
        </is>
      </c>
      <c r="B7" s="5" t="inlineStr">
        <is>
          <t>Feeds the Data Model as its own fact table, kept structurally separate from Shopify-sourced facts so system-of-record vs. hand-entered data is always distinguishable. Related SKU/Collection dropdowns pull from the live Shopify RAW_ tables, not a separate manual list, so an expense can be tied to real product/collection data. Category list is fully configurable on 15_Settings — nothing is hardcoded.</t>
        </is>
      </c>
    </row>
    <row r="8" hidden="1" outlineLevel="1" ht="13" customHeight="1">
      <c r="A8" s="4" t="inlineStr">
        <is>
          <t>Future data source</t>
        </is>
      </c>
      <c r="B8" s="5" t="inlineStr">
        <is>
          <t>This IS the source — no external system. Document Management: Invoice Number/File Name/File Path/Cloud Link are references only — see passress-mis/PHASE3_DOCUMENTATION.md; a future phase may connect Cloud Link directly to OneDrive/SharePoint.</t>
        </is>
      </c>
    </row>
    <row r="9" hidden="1" outlineLevel="1"/>
    <row r="10" ht="6" customHeight="1"/>
    <row r="11" ht="15" customHeight="1">
      <c r="B11" s="6" t="inlineStr">
        <is>
          <t>EXPENSES MTD</t>
        </is>
      </c>
      <c r="C11" s="7" t="n"/>
      <c r="D11" s="6" t="inlineStr">
        <is>
          <t>EXPENSES YTD</t>
        </is>
      </c>
      <c r="E11" s="7" t="n"/>
      <c r="F11" s="6" t="inlineStr">
        <is>
          <t>LARGEST CATEGORY</t>
        </is>
      </c>
      <c r="G11" s="7" t="n"/>
      <c r="H11" s="6" t="inlineStr">
        <is>
          <t>BUDGET VARIANCE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MANUAL EXPENSE ENTRY  (green cells = type here — Expense ID and Possible Duplicate are automatic)</t>
        </is>
      </c>
    </row>
    <row r="17" ht="18" customHeight="1">
      <c r="B17" s="33" t="inlineStr">
        <is>
          <t>Expense ID</t>
        </is>
      </c>
      <c r="C17" s="33" t="inlineStr">
        <is>
          <t>Expense Date</t>
        </is>
      </c>
      <c r="D17" s="33" t="inlineStr">
        <is>
          <t>Expense Category</t>
        </is>
      </c>
      <c r="E17" s="33" t="inlineStr">
        <is>
          <t>Expense Subcategory</t>
        </is>
      </c>
      <c r="F17" s="33" t="inlineStr">
        <is>
          <t>Supplier</t>
        </is>
      </c>
      <c r="G17" s="33" t="inlineStr">
        <is>
          <t>Amount</t>
        </is>
      </c>
      <c r="H17" s="33" t="inlineStr">
        <is>
          <t>Currency</t>
        </is>
      </c>
      <c r="I17" s="33" t="inlineStr">
        <is>
          <t>Payment Method</t>
        </is>
      </c>
      <c r="J17" s="33" t="inlineStr">
        <is>
          <t>Related Collection</t>
        </is>
      </c>
      <c r="K17" s="33" t="inlineStr">
        <is>
          <t>Related SKU</t>
        </is>
      </c>
      <c r="L17" s="33" t="inlineStr">
        <is>
          <t>Cost Center</t>
        </is>
      </c>
      <c r="M17" s="33" t="inlineStr">
        <is>
          <t>Notes</t>
        </is>
      </c>
      <c r="N17" s="33" t="inlineStr">
        <is>
          <t>Invoice Number</t>
        </is>
      </c>
      <c r="O17" s="33" t="inlineStr">
        <is>
          <t>File Name</t>
        </is>
      </c>
      <c r="P17" s="33" t="inlineStr">
        <is>
          <t>File Path</t>
        </is>
      </c>
      <c r="Q17" s="33" t="inlineStr">
        <is>
          <t>Cloud Link</t>
        </is>
      </c>
      <c r="R17" s="33" t="inlineStr">
        <is>
          <t>Possible Duplicate</t>
        </is>
      </c>
    </row>
    <row r="18">
      <c r="B18" s="27">
        <f>"EXP-"&amp;TEXT(ROW()-17,"00000")</f>
        <v/>
      </c>
      <c r="C18" s="34" t="inlineStr">
        <is>
          <t>2026-01-15</t>
        </is>
      </c>
      <c r="D18" s="34" t="inlineStr">
        <is>
          <t>Rent</t>
        </is>
      </c>
      <c r="E18" s="34" t="inlineStr">
        <is>
          <t>Office</t>
        </is>
      </c>
      <c r="F18" s="34" t="n"/>
      <c r="G18" s="34" t="n">
        <v>15000</v>
      </c>
      <c r="H18" s="34" t="inlineStr">
        <is>
          <t>EGP</t>
        </is>
      </c>
      <c r="I18" s="34" t="inlineStr">
        <is>
          <t>Bank Transfer</t>
        </is>
      </c>
      <c r="J18" s="34" t="n"/>
      <c r="K18" s="34" t="n"/>
      <c r="L18" s="34" t="inlineStr">
        <is>
          <t>Head Office</t>
        </is>
      </c>
      <c r="M18" s="34" t="inlineStr">
        <is>
          <t>EXAMPLE — January office rent</t>
        </is>
      </c>
      <c r="N18" s="34" t="inlineStr">
        <is>
          <t>INV-2026-0001</t>
        </is>
      </c>
      <c r="O18" s="34" t="inlineStr">
        <is>
          <t>jan-rent.pdf</t>
        </is>
      </c>
      <c r="P18" s="34" t="inlineStr">
        <is>
          <t>/Finance/2026/Rent/</t>
        </is>
      </c>
      <c r="Q18" s="34" t="n"/>
      <c r="R18" s="27">
        <f>IF(COUNTIFS(tbl_ManualExpenses[Expense Date],[@[Expense Date]],tbl_ManualExpenses[Supplier],[@Supplier],tbl_ManualExpenses[Amount],[@Amount])&gt;1,"Possible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8:R8"/>
    <mergeCell ref="A3:R3"/>
    <mergeCell ref="B4:R4"/>
    <mergeCell ref="B12:C13"/>
    <mergeCell ref="F11:G11"/>
    <mergeCell ref="H11:I11"/>
    <mergeCell ref="H12:I13"/>
    <mergeCell ref="F12:G13"/>
    <mergeCell ref="B11:C11"/>
    <mergeCell ref="A2:R2"/>
    <mergeCell ref="D11:E11"/>
    <mergeCell ref="B7:R7"/>
    <mergeCell ref="B6:R6"/>
    <mergeCell ref="D12:E13"/>
    <mergeCell ref="A1:R1"/>
    <mergeCell ref="B5:R5"/>
  </mergeCells>
  <dataValidations count="8">
    <dataValidation sqref="D18:D501" showDropDown="0" showInputMessage="1" showErrorMessage="1" allowBlank="1" errorTitle="Invalid entry" error="Please choose a value from the Expense Category list — free text isn't accepted here." promptTitle="Expense Category" prompt="Choose from the Expense Category list on 15_Settings." type="list" errorStyle="stop">
      <formula1>=LookupExpenseCategory</formula1>
    </dataValidation>
    <dataValidation sqref="E18:E501" showDropDown="0" showInputMessage="1" showErrorMessage="1" allowBlank="1" errorTitle="Invalid entry" error="Please choose a value from the Expense Subcategory list — free text isn't accepted here." promptTitle="Expense Subcategory" prompt="Choose from the Expense Subcategory list on 15_Settings." type="list" errorStyle="stop">
      <formula1>=LookupExpenseSubcategory</formula1>
    </dataValidation>
    <dataValidation sqref="F18:F501" showDropDown="0" showInputMessage="1" showErrorMessage="1" allowBlank="1" errorTitle="Invalid entry" error="Please choose a value from the Supplier list — free text isn't accepted here." promptTitle="Supplier" prompt="Choose from Supplier Master (12_Suppliers). Leave blank if this expense has no supplier." type="list" errorStyle="stop">
      <formula1>=SupplierNameList</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I18:I501" showDropDown="0" showInputMessage="1" showErrorMessage="1" allowBlank="1" errorTitle="Invalid entry" error="Please choose a value from the Payment Method list — free text isn't accepted here." promptTitle="Payment Method" prompt="Choose from the Payment Method list on 15_Settings." type="list" errorStyle="stop">
      <formula1>=LookupPaymentMethod</formula1>
    </dataValidation>
    <dataValidation sqref="J18:J501" showDropDown="0" showInputMessage="1" showErrorMessage="1" allowBlank="1" errorTitle="Invalid entry" error="Please choose a value from the Related Collection (optional) list — free text isn't accepted here." promptTitle="Related Collection (optional)" prompt="Choose a live Shopify collection, or leave blank." type="list" errorStyle="stop">
      <formula1>=CollectionTitleList</formula1>
    </dataValidation>
    <dataValidation sqref="K18:K501" showDropDown="0" showInputMessage="1" showErrorMessage="1" allowBlank="1" errorTitle="Invalid entry" error="Please choose a value from the Related SKU (optional) list — free text isn't accepted here." promptTitle="Related SKU (optional)" prompt="Choose a live Shopify SKU, or leave blank." type="list" errorStyle="stop">
      <formula1>=SKUList</formula1>
    </dataValidation>
    <dataValidation sqref="L18:L501" showDropDown="0" showInputMessage="1" showErrorMessage="1" allowBlank="1" errorTitle="Invalid entry" error="Please choose a value from the Cost Center list — free text isn't accepted here." promptTitle="Cost Center" prompt="Choose from the Cost Center list on 15_Settings." type="list" errorStyle="stop">
      <formula1>=LookupCostCenter</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1.xml><?xml version="1.0" encoding="utf-8"?>
<worksheet xmlns="http://schemas.openxmlformats.org/spreadsheetml/2006/main">
  <sheetPr>
    <tabColor rgb="00375623"/>
    <outlinePr applyStyles="1" summaryBelow="0" summaryRight="1"/>
    <pageSetUpPr/>
  </sheetPr>
  <dimension ref="A1:I18"/>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12" customWidth="1" min="3" max="3"/>
    <col width="14" customWidth="1" min="4" max="4"/>
    <col width="20" customWidth="1" min="5" max="5"/>
    <col width="14" customWidth="1" min="6" max="6"/>
    <col width="30" customWidth="1" min="7" max="7"/>
    <col width="14" customWidth="1" min="8" max="8"/>
    <col width="16" customWidth="1" min="9" max="9"/>
  </cols>
  <sheetData>
    <row r="1" ht="34" customHeight="1">
      <c r="A1" s="1" t="inlineStr">
        <is>
          <t>Capital</t>
        </is>
      </c>
    </row>
    <row r="2" ht="16" customHeight="1">
      <c r="A2" s="15" t="inlineStr">
        <is>
          <t>PASSRESS MIS   |   Home ▸ Capital</t>
        </is>
      </c>
    </row>
    <row r="3" ht="14" customHeight="1">
      <c r="A3" s="3" t="inlineStr">
        <is>
          <t>Sheet Documentation  (use the  +  outline control at left to expand)</t>
        </is>
      </c>
    </row>
    <row r="4" hidden="1" outlineLevel="1" ht="13" customHeight="1">
      <c r="A4" s="4" t="inlineStr">
        <is>
          <t>Purpose</t>
        </is>
      </c>
      <c r="B4" s="5" t="inlineStr">
        <is>
          <t>Tracks owner capital contributions and withdrawals, and the resulting owner-equity position.</t>
        </is>
      </c>
    </row>
    <row r="5" hidden="1" outlineLevel="1" ht="13" customHeight="1">
      <c r="A5" s="4" t="inlineStr">
        <is>
          <t>Input tables</t>
        </is>
      </c>
      <c r="B5" s="5" t="inlineStr">
        <is>
          <t>15_Settings lookup tables (Owner, Capital Transaction Type).</t>
        </is>
      </c>
    </row>
    <row r="6" hidden="1" outlineLevel="1" ht="13" customHeight="1">
      <c r="A6" s="4" t="inlineStr">
        <is>
          <t>Output tables</t>
        </is>
      </c>
      <c r="B6" s="5" t="inlineStr">
        <is>
          <t>FACT_CapitalTransactions (Data Model-ready hidden mirror).</t>
        </is>
      </c>
    </row>
    <row r="7" hidden="1" outlineLevel="1" ht="13" customHeight="1">
      <c r="A7" s="4" t="inlineStr">
        <is>
          <t>Relationships</t>
        </is>
      </c>
      <c r="B7" s="5" t="inlineStr">
        <is>
          <t>The only source that grows/shrinks Capital Invested and Owner Equity in future financial calculations. Owner and Transaction Type are both configurable lookups on 15_Settings, not hardcoded.</t>
        </is>
      </c>
    </row>
    <row r="8" hidden="1" outlineLevel="1" ht="13" customHeight="1">
      <c r="A8" s="4" t="inlineStr">
        <is>
          <t>Future data source</t>
        </is>
      </c>
      <c r="B8" s="5" t="inlineStr">
        <is>
          <t>This IS the source — no external system. Manual entry only.</t>
        </is>
      </c>
    </row>
    <row r="9" hidden="1" outlineLevel="1"/>
    <row r="10" ht="6" customHeight="1"/>
    <row r="11" ht="15" customHeight="1">
      <c r="B11" s="6" t="inlineStr">
        <is>
          <t>CAPITAL INVESTED</t>
        </is>
      </c>
      <c r="C11" s="7" t="n"/>
      <c r="D11" s="6" t="inlineStr">
        <is>
          <t>OWNER WITHDRAWALS</t>
        </is>
      </c>
      <c r="E11" s="7" t="n"/>
      <c r="F11" s="6" t="inlineStr">
        <is>
          <t>NET OWNER EQUITY</t>
        </is>
      </c>
      <c r="G11" s="7" t="n"/>
      <c r="H11" s="6" t="inlineStr">
        <is>
          <t>YTD MOVEMENT</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CAPITAL TRANSACTIONS  (green cells = type here — Capital ID and Possible Duplicate are automatic)</t>
        </is>
      </c>
    </row>
    <row r="17" ht="18" customHeight="1">
      <c r="B17" s="33" t="inlineStr">
        <is>
          <t>Capital ID</t>
        </is>
      </c>
      <c r="C17" s="33" t="inlineStr">
        <is>
          <t>Date</t>
        </is>
      </c>
      <c r="D17" s="33" t="inlineStr">
        <is>
          <t>Owner</t>
        </is>
      </c>
      <c r="E17" s="33" t="inlineStr">
        <is>
          <t>Transaction Type</t>
        </is>
      </c>
      <c r="F17" s="33" t="inlineStr">
        <is>
          <t>Amount</t>
        </is>
      </c>
      <c r="G17" s="33" t="inlineStr">
        <is>
          <t>Notes</t>
        </is>
      </c>
      <c r="H17" s="33" t="inlineStr">
        <is>
          <t>Entered By</t>
        </is>
      </c>
      <c r="I17" s="33" t="inlineStr">
        <is>
          <t>Possible Duplicate</t>
        </is>
      </c>
    </row>
    <row r="18">
      <c r="B18" s="27">
        <f>"CAP-"&amp;TEXT(ROW()-17,"00000")</f>
        <v/>
      </c>
      <c r="C18" s="34" t="inlineStr">
        <is>
          <t>2026-01-01</t>
        </is>
      </c>
      <c r="D18" s="34" t="inlineStr">
        <is>
          <t>Founder</t>
        </is>
      </c>
      <c r="E18" s="34" t="inlineStr">
        <is>
          <t>Capital Contribution</t>
        </is>
      </c>
      <c r="F18" s="34" t="n">
        <v>50000</v>
      </c>
      <c r="G18" s="34" t="inlineStr">
        <is>
          <t>EXAMPLE — founder capital injection</t>
        </is>
      </c>
      <c r="H18" s="34" t="inlineStr">
        <is>
          <t>Founder</t>
        </is>
      </c>
      <c r="I18" s="27">
        <f>IF(COUNTIFS(tbl_CapitalTransactions[Date],[@Date],tbl_CapitalTransactions[Owner],[@Owner],tbl_CapitalTransactions[Amount],[@Amount])&gt;1,"Possible Duplicate","")</f>
        <v/>
      </c>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A2:I2"/>
    <mergeCell ref="H12:I13"/>
    <mergeCell ref="F12:G13"/>
    <mergeCell ref="B7:I7"/>
    <mergeCell ref="B11:C11"/>
    <mergeCell ref="B6:I6"/>
    <mergeCell ref="D11:E11"/>
    <mergeCell ref="D12:E13"/>
    <mergeCell ref="A1:I1"/>
    <mergeCell ref="B5:I5"/>
    <mergeCell ref="A3:I3"/>
    <mergeCell ref="B8:I8"/>
    <mergeCell ref="B4:I4"/>
  </mergeCells>
  <dataValidations count="2">
    <dataValidation sqref="D18:D501" showDropDown="0" showInputMessage="1" showErrorMessage="1" allowBlank="1" errorTitle="Invalid entry" error="Please choose a value from the Owner list — free text isn't accepted here." promptTitle="Owner" prompt="Choose from the Owner list on 15_Settings." type="list" errorStyle="stop">
      <formula1>=LookupOwner</formula1>
    </dataValidation>
    <dataValidation sqref="E18:E501" showDropDown="0" showInputMessage="1" showErrorMessage="1" allowBlank="1" errorTitle="Invalid entry" error="Please choose a value from the Transaction Type list — free text isn't accepted here." promptTitle="Transaction Type" prompt="Capital Contribution or Capital Withdrawal — from the list on 15_Settings." type="list" errorStyle="stop">
      <formula1>=LookupCapitalTransactionType</formula1>
    </dataValidation>
  </dataValidation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2.xml><?xml version="1.0" encoding="utf-8"?>
<worksheet xmlns="http://schemas.openxmlformats.org/spreadsheetml/2006/main">
  <sheetPr>
    <tabColor rgb="00375623"/>
    <outlinePr applyStyles="1" summaryBelow="0" summaryRight="1"/>
    <pageSetUpPr/>
  </sheetPr>
  <dimension ref="A1:K33"/>
  <sheetViews>
    <sheetView showGridLines="0" workbookViewId="0">
      <pane ySplit="10" topLeftCell="A11" activePane="bottomLeft" state="frozen"/>
      <selection pane="bottomLeft" activeCell="A1" sqref="A1"/>
    </sheetView>
  </sheetViews>
  <sheetFormatPr baseColWidth="8" defaultRowHeight="15"/>
  <cols>
    <col width="3" customWidth="1" min="1" max="1"/>
    <col width="14" customWidth="1" min="2" max="2"/>
    <col width="20" customWidth="1" min="3" max="3"/>
    <col width="14" customWidth="1" min="4" max="4"/>
    <col width="14" customWidth="1" min="5" max="5"/>
    <col width="22" customWidth="1" min="6" max="6"/>
    <col width="10" customWidth="1" min="7" max="7"/>
    <col width="16" customWidth="1" min="8" max="8"/>
    <col width="12" customWidth="1" min="9" max="9"/>
    <col width="26" customWidth="1" min="10" max="10"/>
  </cols>
  <sheetData>
    <row r="1" ht="34" customHeight="1">
      <c r="A1" s="1" t="inlineStr">
        <is>
          <t>Suppliers</t>
        </is>
      </c>
    </row>
    <row r="2" ht="16" customHeight="1">
      <c r="A2" s="15" t="inlineStr">
        <is>
          <t>PASSRESS MIS   |   Home ▸ Suppliers</t>
        </is>
      </c>
    </row>
    <row r="3" ht="14" customHeight="1">
      <c r="A3" s="3" t="inlineStr">
        <is>
          <t>Sheet Documentation  (use the  +  outline control at left to expand)</t>
        </is>
      </c>
    </row>
    <row r="4" hidden="1" outlineLevel="1" ht="13" customHeight="1">
      <c r="A4" s="4" t="inlineStr">
        <is>
          <t>Purpose</t>
        </is>
      </c>
      <c r="B4" s="5" t="inlineStr">
        <is>
          <t>Supplier master data and the complete purchasing engine: Purchase Order Header, Purchase Order Lines, and Goods Receipt, with a Draft-through-Closed status workflow.</t>
        </is>
      </c>
    </row>
    <row r="5" hidden="1" outlineLevel="1" ht="13" customHeight="1">
      <c r="A5" s="4" t="inlineStr">
        <is>
          <t>Input tables</t>
        </is>
      </c>
      <c r="B5" s="5" t="inlineStr">
        <is>
          <t>15_Settings lookup tables (Supplier Type, Supplier Status, Currency, PO Status, Warehouse), RAW_Variants (live Shopify SKUs).</t>
        </is>
      </c>
    </row>
    <row r="6" hidden="1" outlineLevel="1" ht="13" customHeight="1">
      <c r="A6" s="4" t="inlineStr">
        <is>
          <t>Output tables</t>
        </is>
      </c>
      <c r="B6" s="5" t="inlineStr">
        <is>
          <t>DIM_Supplier, FACT_PurchaseOrderHeader, FACT_PurchaseOrderLines, FACT_GoodsReceipt (Data Model-ready hidden mirrors).</t>
        </is>
      </c>
    </row>
    <row r="7" hidden="1" outlineLevel="1" ht="13" customHeight="1">
      <c r="A7" s="4" t="inlineStr">
        <is>
          <t>Relationships</t>
        </is>
      </c>
      <c r="B7" s="5" t="inlineStr">
        <is>
          <t>PO Lines and Goods Receipt both key on PO Number (from PO Header) and SKU (from the live Shopify variant list), not a separate manual product list. Goods Receipt's Remaining Quantity and Variance from PO are computed by looking up PO Lines for the same PO Number + SKU.</t>
        </is>
      </c>
    </row>
    <row r="8" hidden="1" outlineLevel="1" ht="13" customHeight="1">
      <c r="A8" s="4" t="inlineStr">
        <is>
          <t>Future data source</t>
        </is>
      </c>
      <c r="B8" s="5" t="inlineStr">
        <is>
          <t>This IS the source today. Candidate for supplier-portal or accounting-system integration later (see Future Integrations in the Phase 0 architecture).</t>
        </is>
      </c>
    </row>
    <row r="9" hidden="1" outlineLevel="1"/>
    <row r="10" ht="6" customHeight="1"/>
    <row r="11" ht="15" customHeight="1">
      <c r="B11" s="6" t="inlineStr">
        <is>
          <t>ACTIVE SUPPLIERS</t>
        </is>
      </c>
      <c r="C11" s="7" t="n"/>
      <c r="D11" s="6" t="inlineStr">
        <is>
          <t>OPEN POS</t>
        </is>
      </c>
      <c r="E11" s="7" t="n"/>
      <c r="F11" s="6" t="inlineStr">
        <is>
          <t>PURCHASES YTD</t>
        </is>
      </c>
      <c r="G11" s="7" t="n"/>
      <c r="H11" s="6" t="inlineStr">
        <is>
          <t>OUTSTANDING RECEIPTS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SUPPLIER MASTER  (green cells = type here — Supplier ID is automatic)</t>
        </is>
      </c>
    </row>
    <row r="17" ht="18" customHeight="1">
      <c r="B17" s="33" t="inlineStr">
        <is>
          <t>Supplier ID</t>
        </is>
      </c>
      <c r="C17" s="33" t="inlineStr">
        <is>
          <t>Supplier Name</t>
        </is>
      </c>
      <c r="D17" s="33" t="inlineStr">
        <is>
          <t>Supplier Type</t>
        </is>
      </c>
      <c r="E17" s="33" t="inlineStr">
        <is>
          <t>Contact Person</t>
        </is>
      </c>
      <c r="F17" s="33" t="inlineStr">
        <is>
          <t>Phone</t>
        </is>
      </c>
      <c r="G17" s="33" t="inlineStr">
        <is>
          <t>Email</t>
        </is>
      </c>
      <c r="H17" s="33" t="inlineStr">
        <is>
          <t>Currency</t>
        </is>
      </c>
      <c r="I17" s="33" t="inlineStr">
        <is>
          <t>Payment Terms</t>
        </is>
      </c>
      <c r="J17" s="33" t="inlineStr">
        <is>
          <t>Status</t>
        </is>
      </c>
      <c r="K17" s="33" t="inlineStr">
        <is>
          <t>Notes</t>
        </is>
      </c>
    </row>
    <row r="18">
      <c r="B18" s="27">
        <f>"SUP-"&amp;TEXT(ROW()-17,"00000")</f>
        <v/>
      </c>
      <c r="C18" s="34" t="inlineStr">
        <is>
          <t>EXAMPLE — ABC Textiles</t>
        </is>
      </c>
      <c r="D18" s="34" t="inlineStr">
        <is>
          <t>Fabric</t>
        </is>
      </c>
      <c r="E18" s="34" t="inlineStr">
        <is>
          <t>Mona Ahmed</t>
        </is>
      </c>
      <c r="F18" s="34" t="inlineStr">
        <is>
          <t>+20 100 000 0000</t>
        </is>
      </c>
      <c r="G18" s="34" t="inlineStr">
        <is>
          <t>contact@example.com</t>
        </is>
      </c>
      <c r="H18" s="34" t="inlineStr">
        <is>
          <t>EGP</t>
        </is>
      </c>
      <c r="I18" s="34" t="inlineStr">
        <is>
          <t>Net 30</t>
        </is>
      </c>
      <c r="J18" s="34" t="inlineStr">
        <is>
          <t>Active</t>
        </is>
      </c>
      <c r="K18" s="34" t="n"/>
    </row>
    <row r="21">
      <c r="B21" s="10" t="inlineStr">
        <is>
          <t>PURCHASE ORDER HEADER  (green cells = type here — PO Number is automatic)</t>
        </is>
      </c>
    </row>
    <row r="22" ht="18" customHeight="1">
      <c r="B22" s="33" t="inlineStr">
        <is>
          <t>PO Number</t>
        </is>
      </c>
      <c r="C22" s="33" t="inlineStr">
        <is>
          <t>Supplier</t>
        </is>
      </c>
      <c r="D22" s="33" t="inlineStr">
        <is>
          <t>Order Date</t>
        </is>
      </c>
      <c r="E22" s="33" t="inlineStr">
        <is>
          <t>Expected Delivery Date</t>
        </is>
      </c>
      <c r="F22" s="33" t="inlineStr">
        <is>
          <t>Status</t>
        </is>
      </c>
      <c r="G22" s="33" t="inlineStr">
        <is>
          <t>Currency</t>
        </is>
      </c>
      <c r="H22" s="33" t="inlineStr">
        <is>
          <t>Notes</t>
        </is>
      </c>
    </row>
    <row r="23">
      <c r="B23" s="27">
        <f>"PO-"&amp;TEXT(ROW()-22,"00000")</f>
        <v/>
      </c>
      <c r="C23" s="34" t="inlineStr">
        <is>
          <t>EXAMPLE — ABC Textiles</t>
        </is>
      </c>
      <c r="D23" s="34" t="inlineStr">
        <is>
          <t>2026-01-10</t>
        </is>
      </c>
      <c r="E23" s="34" t="inlineStr">
        <is>
          <t>2026-01-24</t>
        </is>
      </c>
      <c r="F23" s="34" t="inlineStr">
        <is>
          <t>Draft</t>
        </is>
      </c>
      <c r="G23" s="34" t="inlineStr">
        <is>
          <t>EGP</t>
        </is>
      </c>
      <c r="H23" s="34" t="n"/>
    </row>
    <row r="26">
      <c r="B26" s="10" t="inlineStr">
        <is>
          <t>PURCHASE ORDER LINES  (green cells = type here — Total Cost is automatic)</t>
        </is>
      </c>
    </row>
    <row r="27" ht="18" customHeight="1">
      <c r="B27" s="33" t="inlineStr">
        <is>
          <t>PO Number</t>
        </is>
      </c>
      <c r="C27" s="33" t="inlineStr">
        <is>
          <t>SKU</t>
        </is>
      </c>
      <c r="D27" s="33" t="inlineStr">
        <is>
          <t>Quantity Ordered</t>
        </is>
      </c>
      <c r="E27" s="33" t="inlineStr">
        <is>
          <t>Unit Cost</t>
        </is>
      </c>
      <c r="F27" s="33" t="inlineStr">
        <is>
          <t>Total Cost</t>
        </is>
      </c>
    </row>
    <row r="28">
      <c r="B28" s="34" t="n"/>
      <c r="C28" s="34" t="n"/>
      <c r="D28" s="34" t="n">
        <v>50</v>
      </c>
      <c r="E28" s="34" t="n">
        <v>120</v>
      </c>
      <c r="F28" s="27">
        <f>[@[Quantity Ordered]]*[@[Unit Cost]]</f>
        <v/>
      </c>
    </row>
    <row r="31">
      <c r="B31" s="10" t="inlineStr">
        <is>
          <t>GOODS RECEIPT  (green cells = type here — Remaining Quantity and Variance from PO are automatic)</t>
        </is>
      </c>
    </row>
    <row r="32" ht="18" customHeight="1">
      <c r="B32" s="33" t="inlineStr">
        <is>
          <t>PO Number</t>
        </is>
      </c>
      <c r="C32" s="33" t="inlineStr">
        <is>
          <t>SKU</t>
        </is>
      </c>
      <c r="D32" s="33" t="inlineStr">
        <is>
          <t>Goods Received Date</t>
        </is>
      </c>
      <c r="E32" s="33" t="inlineStr">
        <is>
          <t>Quantity Received</t>
        </is>
      </c>
      <c r="F32" s="33" t="inlineStr">
        <is>
          <t>Remaining Quantity</t>
        </is>
      </c>
      <c r="G32" s="33" t="inlineStr">
        <is>
          <t>Actual Unit Cost</t>
        </is>
      </c>
      <c r="H32" s="33" t="inlineStr">
        <is>
          <t>Variance from PO</t>
        </is>
      </c>
      <c r="I32" s="33" t="inlineStr">
        <is>
          <t>Warehouse</t>
        </is>
      </c>
      <c r="J32" s="33" t="inlineStr">
        <is>
          <t>Receiver</t>
        </is>
      </c>
    </row>
    <row r="33">
      <c r="B33" s="34" t="n"/>
      <c r="C33" s="34" t="n"/>
      <c r="D33" s="34" t="inlineStr">
        <is>
          <t>2026-01-20</t>
        </is>
      </c>
      <c r="E33" s="34" t="n">
        <v>30</v>
      </c>
      <c r="F33" s="27">
        <f>SUMIFS(tbl_POLines[Quantity Ordered],tbl_POLines[PO Number],[@[PO Number]],tbl_POLines[SKU],[@SKU])-SUMIFS(tbl_GoodsReceipt[Quantity Received],tbl_GoodsReceipt[PO Number],[@[PO Number]],tbl_GoodsReceipt[SKU],[@SKU])</f>
        <v/>
      </c>
      <c r="G33" s="34" t="n">
        <v>122</v>
      </c>
      <c r="H33" s="27">
        <f>[@[Actual Unit Cost]]-SUMIFS(tbl_POLines[Unit Cost],tbl_POLines[PO Number],[@[PO Number]],tbl_POLines[SKU],[@SKU])</f>
        <v/>
      </c>
      <c r="I33" s="34" t="inlineStr">
        <is>
          <t>Main Warehouse</t>
        </is>
      </c>
      <c r="J33" s="34" t="n"/>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7:J7"/>
    <mergeCell ref="A1:J1"/>
    <mergeCell ref="B12:C13"/>
    <mergeCell ref="F11:G11"/>
    <mergeCell ref="B5:J5"/>
    <mergeCell ref="H11:I11"/>
    <mergeCell ref="F12:G13"/>
    <mergeCell ref="B11:C11"/>
    <mergeCell ref="H12:I13"/>
    <mergeCell ref="D11:E11"/>
    <mergeCell ref="A3:J3"/>
    <mergeCell ref="D12:E13"/>
    <mergeCell ref="B8:J8"/>
    <mergeCell ref="B4:J4"/>
    <mergeCell ref="A2:J2"/>
    <mergeCell ref="B6:J6"/>
  </mergeCells>
  <dataValidations count="11">
    <dataValidation sqref="D18:D501" showDropDown="0" showInputMessage="1" showErrorMessage="1" allowBlank="1" errorTitle="Invalid entry" error="Please choose a value from the Supplier Type list — free text isn't accepted here." promptTitle="Supplier Type" prompt="Choose from the Supplier Type list on 15_Settings." type="list" errorStyle="stop">
      <formula1>=LookupSupplierType</formula1>
    </dataValidation>
    <dataValidation sqref="H18:H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J18:J501" showDropDown="0" showInputMessage="1" showErrorMessage="1" allowBlank="1" errorTitle="Invalid entry" error="Please choose a value from the Status list — free text isn't accepted here." promptTitle="Status" prompt="Choose from the Supplier Status list on 15_Settings." type="list" errorStyle="stop">
      <formula1>=LookupSupplierStatus</formula1>
    </dataValidation>
    <dataValidation sqref="C23:C501" showDropDown="0" showInputMessage="1" showErrorMessage="1" allowBlank="1" errorTitle="Invalid entry" error="Please choose a value from the Supplier list — free text isn't accepted here." promptTitle="Supplier" prompt="Choose from Supplier Master (this sheet, above)." type="list" errorStyle="stop">
      <formula1>=SupplierNameList</formula1>
    </dataValidation>
    <dataValidation sqref="F23:F501" showDropDown="0" showInputMessage="1" showErrorMessage="1" allowBlank="1" errorTitle="Invalid entry" error="Please choose a value from the Status list — free text isn't accepted here." promptTitle="Status" prompt="Draft → Approved → Sent → Partially Received → Received → Closed, or Cancelled at any point." type="list" errorStyle="stop">
      <formula1>=LookupPOStatus</formula1>
    </dataValidation>
    <dataValidation sqref="G23:G501" showDropDown="0" showInputMessage="1" showErrorMessage="1" allowBlank="1" errorTitle="Invalid entry" error="Please choose a value from the Currency list — free text isn't accepted here." promptTitle="Currency" prompt="Choose from the Currency list on 15_Settings." type="list" errorStyle="stop">
      <formula1>=LookupCurrency</formula1>
    </dataValidation>
    <dataValidation sqref="B28: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28: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B33:B501" showDropDown="0" showInputMessage="1" showErrorMessage="1" allowBlank="1" errorTitle="Invalid entry" error="Please choose a value from the PO Number list — free text isn't accepted here." promptTitle="PO Number" prompt="Choose an existing PO Number from Purchase Order Header, above." type="list" errorStyle="stop">
      <formula1>=POHeaderList</formula1>
    </dataValidation>
    <dataValidation sqref="C33:C501" showDropDown="0" showInputMessage="1" showErrorMessage="1" allowBlank="1" errorTitle="Invalid entry" error="Please choose a value from the SKU list — free text isn't accepted here." promptTitle="SKU" prompt="Choose a live Shopify SKU." type="list" errorStyle="stop">
      <formula1>=SKUList</formula1>
    </dataValidation>
    <dataValidation sqref="I33:I501" showDropDown="0" showInputMessage="1" showErrorMessage="1" allowBlank="1" errorTitle="Invalid entry" error="Please choose a value from the Warehouse list — free text isn't accepted here." promptTitle="Warehouse" prompt="Choose from the Warehouse list on 15_Settings." type="list" errorStyle="stop">
      <formula1>=LookupWarehouse</formula1>
    </dataValidation>
  </dataValidations>
  <hyperlinks>
    <hyperlink xmlns:r="http://schemas.openxmlformats.org/officeDocument/2006/relationships" ref="A2" r:id="rId1"/>
  </hyperlinks>
  <pageMargins left="0.75" right="0.75" top="1" bottom="1" header="0.5" footer="0.5"/>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3.xml><?xml version="1.0" encoding="utf-8"?>
<worksheet xmlns="http://schemas.openxmlformats.org/spreadsheetml/2006/main">
  <sheetPr>
    <tabColor rgb="00404040"/>
    <outlinePr applyStyles="1" summaryBelow="0" summaryRight="1"/>
    <pageSetUpPr/>
  </sheetPr>
  <dimension ref="A1:L37"/>
  <sheetViews>
    <sheetView showGridLines="0" workbookViewId="0">
      <pane ySplit="10" topLeftCell="A11" activePane="bottomLeft" state="frozen"/>
      <selection pane="bottomLeft"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4" customHeight="1">
      <c r="A1" s="1" t="inlineStr">
        <is>
          <t>Marketing</t>
        </is>
      </c>
    </row>
    <row r="2" ht="16" customHeight="1">
      <c r="A2" s="15" t="inlineStr">
        <is>
          <t>PASSRESS MIS   |   Home ▸ Marketing</t>
        </is>
      </c>
    </row>
    <row r="3" ht="14" customHeight="1">
      <c r="A3" s="3" t="inlineStr">
        <is>
          <t>Sheet Documentation  (use the  +  outline control at left to expand)</t>
        </is>
      </c>
    </row>
    <row r="4" hidden="1" outlineLevel="1" ht="13" customHeight="1">
      <c r="A4" s="4" t="inlineStr">
        <is>
          <t>Purpose</t>
        </is>
      </c>
      <c r="B4" s="5" t="inlineStr">
        <is>
          <t>Campaign and discount-code performance tracking; future home for ad-spend ROAS once integrated.</t>
        </is>
      </c>
    </row>
    <row r="5" hidden="1" outlineLevel="1" ht="13" customHeight="1">
      <c r="A5" s="4" t="inlineStr">
        <is>
          <t>Input tables</t>
        </is>
      </c>
      <c r="B5" s="5" t="inlineStr">
        <is>
          <t>DIM_Collection, FACT_OrderLines (discount amounts). Future: FACT_AdSpend.</t>
        </is>
      </c>
    </row>
    <row r="6" hidden="1" outlineLevel="1" ht="13" customHeight="1">
      <c r="A6" s="4" t="inlineStr">
        <is>
          <t>Output tables</t>
        </is>
      </c>
      <c r="B6" s="5" t="inlineStr">
        <is>
          <t>Marketing KPI row, Campaign Performance table, Discount Code Usage table.</t>
        </is>
      </c>
    </row>
    <row r="7" hidden="1" outlineLevel="1" ht="13" customHeight="1">
      <c r="A7" s="4" t="inlineStr">
        <is>
          <t>Relationships</t>
        </is>
      </c>
      <c r="B7" s="5" t="inlineStr">
        <is>
          <t>FACT_OrderLines[DiscountAmount] rolls up by campaign/discount code.</t>
        </is>
      </c>
    </row>
    <row r="8" hidden="1" outlineLevel="1" ht="13" customHeight="1">
      <c r="A8" s="4" t="inlineStr">
        <is>
          <t>Future data source</t>
        </is>
      </c>
      <c r="B8" s="5" t="inlineStr">
        <is>
          <t>RAW_Orders discount fields via Power Query — Phase 2. Meta/TikTok Ads API — future integration.</t>
        </is>
      </c>
    </row>
    <row r="9" hidden="1" outlineLevel="1"/>
    <row r="10" ht="6" customHeight="1"/>
    <row r="11" ht="15" customHeight="1">
      <c r="B11" s="6" t="inlineStr">
        <is>
          <t>TOTAL DISCOUNT GIVEN</t>
        </is>
      </c>
      <c r="C11" s="7" t="n"/>
      <c r="D11" s="6" t="inlineStr">
        <is>
          <t>ACTIVE CAMPAIGNS</t>
        </is>
      </c>
      <c r="E11" s="7" t="n"/>
      <c r="F11" s="6" t="inlineStr">
        <is>
          <t>DISCOUNT RATE %</t>
        </is>
      </c>
      <c r="G11" s="7" t="n"/>
      <c r="H11" s="6" t="inlineStr">
        <is>
          <t>ROAS (FUTURE)</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TRENDS &amp; BREAKDOWNS</t>
        </is>
      </c>
    </row>
    <row r="17">
      <c r="B17" s="29" t="inlineStr">
        <is>
          <t>[ Discount Trend (Chart)  —  Placeholder, built in Phase 4 ]</t>
        </is>
      </c>
      <c r="C17" s="30" t="n"/>
      <c r="D17" s="30" t="n"/>
      <c r="E17" s="30" t="n"/>
      <c r="F17" s="30" t="n"/>
      <c r="G17" s="30" t="n"/>
      <c r="H17" s="30" t="n"/>
      <c r="I17" s="30" t="n"/>
      <c r="J17" s="30" t="n"/>
      <c r="K17" s="30" t="n"/>
    </row>
    <row r="18">
      <c r="B18" s="30" t="n"/>
      <c r="C18" s="30" t="n"/>
      <c r="D18" s="30" t="n"/>
      <c r="E18" s="30" t="n"/>
      <c r="F18" s="30" t="n"/>
      <c r="G18" s="30" t="n"/>
      <c r="H18" s="30" t="n"/>
      <c r="I18" s="30" t="n"/>
      <c r="J18" s="30" t="n"/>
      <c r="K18" s="30" t="n"/>
    </row>
    <row r="19">
      <c r="B19" s="30" t="n"/>
      <c r="C19" s="30" t="n"/>
      <c r="D19" s="30" t="n"/>
      <c r="E19" s="30" t="n"/>
      <c r="F19" s="30" t="n"/>
      <c r="G19" s="30" t="n"/>
      <c r="H19" s="30" t="n"/>
      <c r="I19" s="30" t="n"/>
      <c r="J19" s="30" t="n"/>
      <c r="K19" s="30" t="n"/>
    </row>
    <row r="20">
      <c r="B20" s="30" t="n"/>
      <c r="C20" s="30" t="n"/>
      <c r="D20" s="30" t="n"/>
      <c r="E20" s="30" t="n"/>
      <c r="F20" s="30" t="n"/>
      <c r="G20" s="30" t="n"/>
      <c r="H20" s="30" t="n"/>
      <c r="I20" s="30" t="n"/>
      <c r="J20" s="30" t="n"/>
      <c r="K20" s="30" t="n"/>
    </row>
    <row r="21">
      <c r="B21" s="30" t="n"/>
      <c r="C21" s="30" t="n"/>
      <c r="D21" s="30" t="n"/>
      <c r="E21" s="30" t="n"/>
      <c r="F21" s="30" t="n"/>
      <c r="G21" s="30" t="n"/>
      <c r="H21" s="30" t="n"/>
      <c r="I21" s="30" t="n"/>
      <c r="J21" s="30" t="n"/>
      <c r="K21" s="30" t="n"/>
    </row>
    <row r="22">
      <c r="B22" s="30" t="n"/>
      <c r="C22" s="30" t="n"/>
      <c r="D22" s="30" t="n"/>
      <c r="E22" s="30" t="n"/>
      <c r="F22" s="30" t="n"/>
      <c r="G22" s="30" t="n"/>
      <c r="H22" s="30" t="n"/>
      <c r="I22" s="30" t="n"/>
      <c r="J22" s="30" t="n"/>
      <c r="K22" s="30" t="n"/>
    </row>
    <row r="23">
      <c r="B23" s="30" t="n"/>
      <c r="C23" s="30" t="n"/>
      <c r="D23" s="30" t="n"/>
      <c r="E23" s="30" t="n"/>
      <c r="F23" s="30" t="n"/>
      <c r="G23" s="30" t="n"/>
      <c r="H23" s="30" t="n"/>
      <c r="I23" s="30" t="n"/>
      <c r="J23" s="30" t="n"/>
      <c r="K23" s="30" t="n"/>
    </row>
    <row r="24">
      <c r="B24" s="30" t="n"/>
      <c r="C24" s="30" t="n"/>
      <c r="D24" s="30" t="n"/>
      <c r="E24" s="30" t="n"/>
      <c r="F24" s="30" t="n"/>
      <c r="G24" s="30" t="n"/>
      <c r="H24" s="30" t="n"/>
      <c r="I24" s="30" t="n"/>
      <c r="J24" s="30" t="n"/>
      <c r="K24" s="30" t="n"/>
    </row>
    <row r="27">
      <c r="B27" s="10" t="inlineStr">
        <is>
          <t>DETAIL (PIVOTTABLES)</t>
        </is>
      </c>
    </row>
    <row r="28">
      <c r="B28" s="29" t="inlineStr">
        <is>
          <t>[ Campaign Performance (PivotTable)  —  Placeholder, built in Phase 4 ]</t>
        </is>
      </c>
      <c r="C28" s="30" t="n"/>
      <c r="D28" s="30" t="n"/>
      <c r="E28" s="30" t="n"/>
      <c r="F28" s="30" t="n"/>
      <c r="G28" s="29" t="inlineStr">
        <is>
          <t>[ Discount Code Usage (PivotTable)  —  Placeholder, built in Phase 4 ]</t>
        </is>
      </c>
      <c r="H28" s="30" t="n"/>
      <c r="I28" s="30" t="n"/>
      <c r="J28" s="30" t="n"/>
      <c r="K28" s="30" t="n"/>
    </row>
    <row r="29">
      <c r="B29" s="30" t="n"/>
      <c r="C29" s="30" t="n"/>
      <c r="D29" s="30" t="n"/>
      <c r="E29" s="30" t="n"/>
      <c r="F29" s="30" t="n"/>
      <c r="G29" s="30" t="n"/>
      <c r="H29" s="30" t="n"/>
      <c r="I29" s="30" t="n"/>
      <c r="J29" s="30" t="n"/>
      <c r="K29" s="30" t="n"/>
    </row>
    <row r="30">
      <c r="B30" s="30" t="n"/>
      <c r="C30" s="30" t="n"/>
      <c r="D30" s="30" t="n"/>
      <c r="E30" s="30" t="n"/>
      <c r="F30" s="30" t="n"/>
      <c r="G30" s="30" t="n"/>
      <c r="H30" s="30" t="n"/>
      <c r="I30" s="30" t="n"/>
      <c r="J30" s="30" t="n"/>
      <c r="K30" s="30" t="n"/>
    </row>
    <row r="31">
      <c r="B31" s="30" t="n"/>
      <c r="C31" s="30" t="n"/>
      <c r="D31" s="30" t="n"/>
      <c r="E31" s="30" t="n"/>
      <c r="F31" s="30" t="n"/>
      <c r="G31" s="30" t="n"/>
      <c r="H31" s="30" t="n"/>
      <c r="I31" s="30" t="n"/>
      <c r="J31" s="30" t="n"/>
      <c r="K31" s="30" t="n"/>
    </row>
    <row r="32">
      <c r="B32" s="30" t="n"/>
      <c r="C32" s="30" t="n"/>
      <c r="D32" s="30" t="n"/>
      <c r="E32" s="30" t="n"/>
      <c r="F32" s="30" t="n"/>
      <c r="G32" s="30" t="n"/>
      <c r="H32" s="30" t="n"/>
      <c r="I32" s="30" t="n"/>
      <c r="J32" s="30" t="n"/>
      <c r="K32" s="30" t="n"/>
    </row>
    <row r="33">
      <c r="B33" s="30" t="n"/>
      <c r="C33" s="30" t="n"/>
      <c r="D33" s="30" t="n"/>
      <c r="E33" s="30" t="n"/>
      <c r="F33" s="30" t="n"/>
      <c r="G33" s="30" t="n"/>
      <c r="H33" s="30" t="n"/>
      <c r="I33" s="30" t="n"/>
      <c r="J33" s="30" t="n"/>
      <c r="K33" s="30" t="n"/>
    </row>
    <row r="34">
      <c r="B34" s="30" t="n"/>
      <c r="C34" s="30" t="n"/>
      <c r="D34" s="30" t="n"/>
      <c r="E34" s="30" t="n"/>
      <c r="F34" s="30" t="n"/>
      <c r="G34" s="30" t="n"/>
      <c r="H34" s="30" t="n"/>
      <c r="I34" s="30" t="n"/>
      <c r="J34" s="30" t="n"/>
      <c r="K34" s="30" t="n"/>
    </row>
    <row r="35">
      <c r="B35" s="30" t="n"/>
      <c r="C35" s="30" t="n"/>
      <c r="D35" s="30" t="n"/>
      <c r="E35" s="30" t="n"/>
      <c r="F35" s="30" t="n"/>
      <c r="G35" s="30" t="n"/>
      <c r="H35" s="30" t="n"/>
      <c r="I35" s="30" t="n"/>
      <c r="J35" s="30" t="n"/>
      <c r="K35" s="30" t="n"/>
    </row>
    <row r="36">
      <c r="B36" s="30" t="n"/>
      <c r="C36" s="30" t="n"/>
      <c r="D36" s="30" t="n"/>
      <c r="E36" s="30" t="n"/>
      <c r="F36" s="30" t="n"/>
      <c r="G36" s="30" t="n"/>
      <c r="H36" s="30" t="n"/>
      <c r="I36" s="30" t="n"/>
      <c r="J36" s="30" t="n"/>
      <c r="K36" s="30" t="n"/>
    </row>
    <row r="37">
      <c r="B37" s="30" t="n"/>
      <c r="C37" s="30" t="n"/>
      <c r="D37" s="30" t="n"/>
      <c r="E37" s="30" t="n"/>
      <c r="F37" s="30" t="n"/>
      <c r="G37" s="30" t="n"/>
      <c r="H37" s="30" t="n"/>
      <c r="I37" s="30" t="n"/>
      <c r="J37" s="30" t="n"/>
      <c r="K37" s="30" t="n"/>
    </row>
  </sheetData>
  <sheetProtection selectLockedCells="0" selectUnlockedCells="0" sheet="1" objects="0" insertRows="0" insertHyperlinks="1" autoFilter="1" scenarios="0" formatColumns="0" deleteColumns="0" insertColumns="0" pivotTables="0" deleteRows="0" formatCells="0" formatRows="0" sort="1" password="C24F"/>
  <mergeCells count="19">
    <mergeCell ref="B4:L4"/>
    <mergeCell ref="F11:G11"/>
    <mergeCell ref="B7:L7"/>
    <mergeCell ref="D12:E13"/>
    <mergeCell ref="A3:L3"/>
    <mergeCell ref="A2:L2"/>
    <mergeCell ref="H12:I13"/>
    <mergeCell ref="B11:C11"/>
    <mergeCell ref="D11:E11"/>
    <mergeCell ref="G28:K37"/>
    <mergeCell ref="B8:L8"/>
    <mergeCell ref="H11:I11"/>
    <mergeCell ref="B28:F37"/>
    <mergeCell ref="B17:K24"/>
    <mergeCell ref="B12:C13"/>
    <mergeCell ref="B6:L6"/>
    <mergeCell ref="F12:G13"/>
    <mergeCell ref="A1:L1"/>
    <mergeCell ref="B5:L5"/>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tabColor rgb="00404040"/>
    <outlinePr applyStyles="1" summaryBelow="0" summaryRight="1"/>
    <pageSetUpPr/>
  </sheetPr>
  <dimension ref="A1:I23"/>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30" customWidth="1" min="3" max="3"/>
    <col width="14" customWidth="1" min="4" max="4"/>
    <col width="30" customWidth="1" min="5" max="5"/>
  </cols>
  <sheetData>
    <row r="1" ht="34" customHeight="1">
      <c r="A1" s="1" t="inlineStr">
        <is>
          <t>Data Quality</t>
        </is>
      </c>
    </row>
    <row r="2" ht="16" customHeight="1">
      <c r="A2" s="15" t="inlineStr">
        <is>
          <t>PASSRESS MIS   |   Home ▸ Data Quality</t>
        </is>
      </c>
    </row>
    <row r="3" ht="14" customHeight="1">
      <c r="A3" s="3" t="inlineStr">
        <is>
          <t>Sheet Documentation  (use the  +  outline control at left to expand)</t>
        </is>
      </c>
    </row>
    <row r="4" hidden="1" outlineLevel="1" ht="13" customHeight="1">
      <c r="A4" s="4" t="inlineStr">
        <is>
          <t>Purpose</t>
        </is>
      </c>
      <c r="B4" s="5" t="inlineStr">
        <is>
          <t>Monitors refresh health, row counts, and validation checks so data problems surface immediately instead of silently propagating into dashboards.</t>
        </is>
      </c>
    </row>
    <row r="5" hidden="1" outlineLevel="1" ht="13" customHeight="1">
      <c r="A5" s="4" t="inlineStr">
        <is>
          <t>Input tables</t>
        </is>
      </c>
      <c r="B5" s="5" t="inlineStr">
        <is>
          <t>LOG_RefreshHistory, LOG_DataQuality.</t>
        </is>
      </c>
    </row>
    <row r="6" hidden="1" outlineLevel="1" ht="13" customHeight="1">
      <c r="A6" s="4" t="inlineStr">
        <is>
          <t>Output tables</t>
        </is>
      </c>
      <c r="B6" s="5" t="inlineStr">
        <is>
          <t>Refresh Status Summary, Validation Rules.</t>
        </is>
      </c>
    </row>
    <row r="7" hidden="1" outlineLevel="1" ht="13" customHeight="1">
      <c r="A7" s="4" t="inlineStr">
        <is>
          <t>Relationships</t>
        </is>
      </c>
      <c r="B7" s="5" t="inlineStr">
        <is>
          <t>Reads directly from the two hidden LOG_ sheets — this is their human-facing display, not a separate data source.</t>
        </is>
      </c>
    </row>
    <row r="8" hidden="1" outlineLevel="1" ht="13" customHeight="1">
      <c r="A8" s="4" t="inlineStr">
        <is>
          <t>Future data source</t>
        </is>
      </c>
      <c r="B8" s="5" t="inlineStr">
        <is>
          <t>LOG_RefreshHistory / LOG_DataQuality, populated by Power Query refresh events — Phase 2.</t>
        </is>
      </c>
    </row>
    <row r="9" hidden="1" outlineLevel="1"/>
    <row r="10" ht="6" customHeight="1"/>
    <row r="11" ht="15" customHeight="1">
      <c r="B11" s="6" t="inlineStr">
        <is>
          <t>LAST REFRESH</t>
        </is>
      </c>
      <c r="C11" s="7" t="n"/>
      <c r="D11" s="6" t="inlineStr">
        <is>
          <t>ROWS LOADED</t>
        </is>
      </c>
      <c r="E11" s="7" t="n"/>
      <c r="F11" s="6" t="inlineStr">
        <is>
          <t>ERRORS FOUND</t>
        </is>
      </c>
      <c r="G11" s="7" t="n"/>
      <c r="H11" s="6" t="inlineStr">
        <is>
          <t>DATA FRESHNESS</t>
        </is>
      </c>
      <c r="I11" s="7" t="n"/>
    </row>
    <row r="12" ht="22" customHeight="1">
      <c r="B12" s="8" t="inlineStr">
        <is>
          <t>—</t>
        </is>
      </c>
      <c r="C12" s="7" t="n"/>
      <c r="D12" s="8" t="inlineStr">
        <is>
          <t>—</t>
        </is>
      </c>
      <c r="E12" s="7" t="n"/>
      <c r="F12" s="8" t="inlineStr">
        <is>
          <t>—</t>
        </is>
      </c>
      <c r="G12" s="7" t="n"/>
      <c r="H12" s="8" t="inlineStr">
        <is>
          <t>—</t>
        </is>
      </c>
      <c r="I12" s="7" t="n"/>
    </row>
    <row r="13" ht="22" customHeight="1">
      <c r="B13" s="7" t="n"/>
      <c r="C13" s="7" t="n"/>
      <c r="D13" s="7" t="n"/>
      <c r="E13" s="7" t="n"/>
      <c r="F13" s="7" t="n"/>
      <c r="G13" s="7" t="n"/>
      <c r="H13" s="7" t="n"/>
      <c r="I13" s="7" t="n"/>
    </row>
    <row r="16">
      <c r="B16" s="10" t="inlineStr">
        <is>
          <t>VALIDATION RULES  (orange cells = configurable)</t>
        </is>
      </c>
    </row>
    <row r="17" ht="18" customHeight="1">
      <c r="B17" s="37" t="inlineStr">
        <is>
          <t>Rule ID</t>
        </is>
      </c>
      <c r="C17" s="37" t="inlineStr">
        <is>
          <t>Check Name</t>
        </is>
      </c>
      <c r="D17" s="37" t="inlineStr">
        <is>
          <t>Applies To</t>
        </is>
      </c>
      <c r="E17" s="37" t="inlineStr">
        <is>
          <t>Threshold</t>
        </is>
      </c>
    </row>
    <row r="18">
      <c r="B18" s="38" t="inlineStr">
        <is>
          <t>DQ-001</t>
        </is>
      </c>
      <c r="C18" s="38" t="inlineStr">
        <is>
          <t>No orders older than lookback window missing</t>
        </is>
      </c>
      <c r="D18" s="38" t="inlineStr">
        <is>
          <t>RAW_Orders</t>
        </is>
      </c>
      <c r="E18" s="38" t="inlineStr">
        <is>
          <t>0 gaps</t>
        </is>
      </c>
    </row>
    <row r="21">
      <c r="B21" s="10" t="inlineStr">
        <is>
          <t>REFRESH STATUS SUMMARY  (calculated — Phase 2)</t>
        </is>
      </c>
    </row>
    <row r="22" ht="18" customHeight="1">
      <c r="B22" s="39" t="inlineStr">
        <is>
          <t>Table</t>
        </is>
      </c>
      <c r="C22" s="39" t="inlineStr">
        <is>
          <t>Last Refreshed</t>
        </is>
      </c>
      <c r="D22" s="39" t="inlineStr">
        <is>
          <t>Row Count</t>
        </is>
      </c>
      <c r="E22" s="39" t="inlineStr">
        <is>
          <t>Status</t>
        </is>
      </c>
    </row>
    <row r="23">
      <c r="B23" s="27" t="n"/>
      <c r="C23" s="27" t="n"/>
      <c r="D23" s="27" t="n"/>
      <c r="E23" s="27" t="n"/>
    </row>
  </sheetData>
  <sheetProtection selectLockedCells="0" selectUnlockedCells="0" sheet="1" objects="0" insertRows="0" insertHyperlinks="1" autoFilter="1" scenarios="0" formatColumns="0" deleteColumns="0" insertColumns="0" pivotTables="0" deleteRows="0" formatCells="0" formatRows="0" sort="1" password="C24F"/>
  <mergeCells count="16">
    <mergeCell ref="B12:C13"/>
    <mergeCell ref="F11:G11"/>
    <mergeCell ref="H11:I11"/>
    <mergeCell ref="B8:E8"/>
    <mergeCell ref="H12:I13"/>
    <mergeCell ref="B4:E4"/>
    <mergeCell ref="A2:E2"/>
    <mergeCell ref="B11:C11"/>
    <mergeCell ref="F12:G13"/>
    <mergeCell ref="D11:E11"/>
    <mergeCell ref="B6:E6"/>
    <mergeCell ref="D12:E13"/>
    <mergeCell ref="B7:E7"/>
    <mergeCell ref="A1:E1"/>
    <mergeCell ref="B5:E5"/>
    <mergeCell ref="A3:E3"/>
  </mergeCells>
  <hyperlinks>
    <hyperlink xmlns:r="http://schemas.openxmlformats.org/officeDocument/2006/relationships" ref="A2" r:id="rId1"/>
  </hyperlinks>
  <pageMargins left="0.75" right="0.75" top="1" bottom="1" header="0.5" footer="0.5"/>
  <tableParts count="2">
    <tablePart xmlns:r="http://schemas.openxmlformats.org/officeDocument/2006/relationships" r:id="rId2"/>
    <tablePart xmlns:r="http://schemas.openxmlformats.org/officeDocument/2006/relationships" r:id="rId3"/>
  </tableParts>
</worksheet>
</file>

<file path=xl/worksheets/sheet15.xml><?xml version="1.0" encoding="utf-8"?>
<worksheet xmlns="http://schemas.openxmlformats.org/spreadsheetml/2006/main">
  <sheetPr>
    <tabColor rgb="00404040"/>
    <outlinePr applyStyles="1" summaryBelow="0" summaryRight="1"/>
    <pageSetUpPr/>
  </sheetPr>
  <dimension ref="A1:F157"/>
  <sheetViews>
    <sheetView showGridLines="0" workbookViewId="0">
      <pane ySplit="10" topLeftCell="A11" activePane="bottomLeft" state="frozen"/>
      <selection pane="bottomLeft" activeCell="A1" sqref="A1"/>
    </sheetView>
  </sheetViews>
  <sheetFormatPr baseColWidth="8" defaultRowHeight="15"/>
  <cols>
    <col width="3" customWidth="1" min="1" max="1"/>
    <col width="18" customWidth="1" min="2" max="2"/>
    <col width="22" customWidth="1" min="3" max="3"/>
    <col width="44" customWidth="1" min="4" max="4"/>
  </cols>
  <sheetData>
    <row r="1" ht="34" customHeight="1">
      <c r="A1" s="1" t="inlineStr">
        <is>
          <t>Settings</t>
        </is>
      </c>
    </row>
    <row r="2" ht="16" customHeight="1">
      <c r="A2" s="15" t="inlineStr">
        <is>
          <t>PASSRESS MIS   |   Home ▸ Settings</t>
        </is>
      </c>
    </row>
    <row r="3" ht="14" customHeight="1">
      <c r="A3" s="3" t="inlineStr">
        <is>
          <t>Sheet Documentation  (use the  +  outline control at left to expand)</t>
        </is>
      </c>
    </row>
    <row r="4" hidden="1" outlineLevel="1" ht="13" customHeight="1">
      <c r="A4" s="4" t="inlineStr">
        <is>
          <t>Purpose</t>
        </is>
      </c>
      <c r="B4" s="5" t="inlineStr">
        <is>
          <t>Central control panel — every configurable parameter the rest of the workbook depends on. The single place non-technical changes should be made.</t>
        </is>
      </c>
    </row>
    <row r="5" hidden="1" outlineLevel="1" ht="13" customHeight="1">
      <c r="A5" s="4" t="inlineStr">
        <is>
          <t>Input tables</t>
        </is>
      </c>
      <c r="B5" s="5" t="inlineStr">
        <is>
          <t>None — this sheet is the input.</t>
        </is>
      </c>
    </row>
    <row r="6" hidden="1" outlineLevel="1" ht="13" customHeight="1">
      <c r="A6" s="4" t="inlineStr">
        <is>
          <t>Output tables</t>
        </is>
      </c>
      <c r="B6" s="5" t="inlineStr">
        <is>
          <t>DIM_Parameters (disconnected DAX table mirrors these values), Power Query parameters (Phase 2), Chart of Accounts mapping used by 08_Finance/09_Profitability.</t>
        </is>
      </c>
    </row>
    <row r="7" hidden="1" outlineLevel="1" ht="13" customHeight="1">
      <c r="A7" s="4" t="inlineStr">
        <is>
          <t>Relationships</t>
        </is>
      </c>
      <c r="B7" s="5" t="inlineStr">
        <is>
          <t>Every Power Query parameter and every DAX measure that needs a configurable constant reads from here — never hardcoded elsewhere.</t>
        </is>
      </c>
    </row>
    <row r="8" hidden="1" outlineLevel="1" ht="13" customHeight="1">
      <c r="A8" s="4" t="inlineStr">
        <is>
          <t>Future data source</t>
        </is>
      </c>
      <c r="B8" s="5" t="inlineStr">
        <is>
          <t>This IS the source. No external system.</t>
        </is>
      </c>
    </row>
    <row r="9" hidden="1" outlineLevel="1"/>
    <row r="10" ht="6" customHeight="1"/>
    <row r="11">
      <c r="B11" s="10" t="inlineStr">
        <is>
          <t>GENERAL SETTINGS  (orange cells = configurable)</t>
        </is>
      </c>
    </row>
    <row r="12" ht="16" customHeight="1">
      <c r="B12" s="40" t="inlineStr">
        <is>
          <t>Parameter</t>
        </is>
      </c>
      <c r="C12" s="40" t="inlineStr">
        <is>
          <t>Value</t>
        </is>
      </c>
      <c r="D12" s="40" t="inlineStr">
        <is>
          <t>Description</t>
        </is>
      </c>
    </row>
    <row r="13">
      <c r="B13" s="41" t="inlineStr">
        <is>
          <t>Company Name</t>
        </is>
      </c>
      <c r="C13" s="13" t="inlineStr">
        <is>
          <t>Passress</t>
        </is>
      </c>
      <c r="D13" s="42" t="inlineStr">
        <is>
          <t>Legal/trading name shown across dashboards.</t>
        </is>
      </c>
    </row>
    <row r="14">
      <c r="B14" s="41" t="inlineStr">
        <is>
          <t>Base Currency</t>
        </is>
      </c>
      <c r="C14" s="13" t="inlineStr">
        <is>
          <t>EGP</t>
        </is>
      </c>
      <c r="D14" s="42" t="inlineStr">
        <is>
          <t>Currency all imported Shopify data is stored in.</t>
        </is>
      </c>
    </row>
    <row r="15">
      <c r="B15" s="41" t="inlineStr">
        <is>
          <t>Reporting Currency</t>
        </is>
      </c>
      <c r="C15" s="13" t="inlineStr">
        <is>
          <t>EGP</t>
        </is>
      </c>
      <c r="D15" s="42" t="inlineStr">
        <is>
          <t>Currency used for dashboard display. Phase 1: same as base.</t>
        </is>
      </c>
    </row>
    <row r="16">
      <c r="B16" s="41" t="inlineStr">
        <is>
          <t>Fiscal Year Start Month</t>
        </is>
      </c>
      <c r="C16" s="13" t="inlineStr">
        <is>
          <t>January</t>
        </is>
      </c>
      <c r="D16" s="42" t="inlineStr">
        <is>
          <t>First month of fiscal year, used for YTD/FY calculations.</t>
        </is>
      </c>
    </row>
    <row r="17">
      <c r="B17" s="41" t="inlineStr">
        <is>
          <t>Default VAT Rate</t>
        </is>
      </c>
      <c r="C17" s="13" t="inlineStr">
        <is>
          <t>14%</t>
        </is>
      </c>
      <c r="D17" s="42" t="inlineStr">
        <is>
          <t>Egypt standard VAT — used for tax reconciliation.</t>
        </is>
      </c>
    </row>
    <row r="18">
      <c r="B18" s="41" t="inlineStr">
        <is>
          <t>Target Gross Margin %</t>
        </is>
      </c>
      <c r="C18" s="13" t="inlineStr">
        <is>
          <t>55%</t>
        </is>
      </c>
      <c r="D18" s="42" t="inlineStr">
        <is>
          <t>Benchmark used for profitability flags (Phase 3).</t>
        </is>
      </c>
    </row>
    <row r="21">
      <c r="B21" s="10" t="inlineStr">
        <is>
          <t>SHOPIFY CONNECTION SETTINGS  (fill in Store Domain to go live; token is never stored here)</t>
        </is>
      </c>
    </row>
    <row r="22" ht="16" customHeight="1">
      <c r="B22" s="40" t="inlineStr">
        <is>
          <t>Parameter</t>
        </is>
      </c>
      <c r="C22" s="40" t="inlineStr">
        <is>
          <t>Value</t>
        </is>
      </c>
      <c r="D22" s="40" t="inlineStr">
        <is>
          <t>Description</t>
        </is>
      </c>
    </row>
    <row r="23">
      <c r="B23" s="41" t="inlineStr">
        <is>
          <t>Shopify Store Domain</t>
        </is>
      </c>
      <c r="C23" s="13" t="inlineStr">
        <is>
          <t>your-store.myshopify.com</t>
        </is>
      </c>
      <c r="D23" s="42" t="inlineStr">
        <is>
          <t>Set this to your real *.myshopify.com domain to go live. The access token itself is never stored in this workbook — see power-query/README.md.</t>
        </is>
      </c>
    </row>
    <row r="24">
      <c r="B24" s="41" t="inlineStr">
        <is>
          <t>Shopify API Version</t>
        </is>
      </c>
      <c r="C24" s="13" t="inlineStr">
        <is>
          <t>2025-01</t>
        </is>
      </c>
      <c r="D24" s="42" t="inlineStr">
        <is>
          <t>Admin GraphQL API version pinned for Power Query — reviewed twice a year.</t>
        </is>
      </c>
    </row>
    <row r="25">
      <c r="B25" s="41" t="inlineStr">
        <is>
          <t>Lookback Days (Incremental Refresh)</t>
        </is>
      </c>
      <c r="C25" s="13" t="inlineStr">
        <is>
          <t>7</t>
        </is>
      </c>
      <c r="D25" s="42" t="inlineStr">
        <is>
          <t>Rolling re-check window: days of history re-pulled on every refresh so late-updated records are never missed.</t>
        </is>
      </c>
    </row>
    <row r="26">
      <c r="B26" s="41" t="inlineStr">
        <is>
          <t>Historical Backfill Start Date</t>
        </is>
      </c>
      <c r="C26" s="13" t="inlineStr">
        <is>
          <t>2024-01-01</t>
        </is>
      </c>
      <c r="D26" s="42" t="inlineStr">
        <is>
          <t>Earliest date fetched on a first-ever run (empty staging table). Ignored once a table has data — Lookback Days takes over.</t>
        </is>
      </c>
    </row>
    <row r="27">
      <c r="B27" s="41" t="inlineStr">
        <is>
          <t>Max Pages Per Refresh (Safety Cap)</t>
        </is>
      </c>
      <c r="C27" s="13" t="inlineStr">
        <is>
          <t>500</t>
        </is>
      </c>
      <c r="D27" s="42" t="inlineStr">
        <is>
          <t>Hard stop on pagination per query per refresh (500 pages x 250 records ≈ 125,000 rows), so a misconfigured filter can't run away.</t>
        </is>
      </c>
    </row>
    <row r="30">
      <c r="B30" s="10" t="inlineStr">
        <is>
          <t>CHART OF ACCOUNTS MAPPING  (orange cells = configurable)</t>
        </is>
      </c>
    </row>
    <row r="31" ht="18" customHeight="1">
      <c r="B31" s="37" t="inlineStr">
        <is>
          <t>Account Code</t>
        </is>
      </c>
      <c r="C31" s="37" t="inlineStr">
        <is>
          <t>Account Name</t>
        </is>
      </c>
      <c r="D31" s="37" t="inlineStr">
        <is>
          <t>Statement</t>
        </is>
      </c>
      <c r="E31" s="37" t="inlineStr">
        <is>
          <t>P&amp;L / BS Line</t>
        </is>
      </c>
      <c r="F31" s="37" t="inlineStr">
        <is>
          <t>Source</t>
        </is>
      </c>
    </row>
    <row r="32">
      <c r="B32" s="38" t="inlineStr">
        <is>
          <t>4000</t>
        </is>
      </c>
      <c r="C32" s="38" t="inlineStr">
        <is>
          <t>EXAMPLE — Net Sales</t>
        </is>
      </c>
      <c r="D32" s="38" t="inlineStr">
        <is>
          <t>P&amp;L</t>
        </is>
      </c>
      <c r="E32" s="38" t="inlineStr">
        <is>
          <t>Revenue</t>
        </is>
      </c>
      <c r="F32" s="38" t="inlineStr">
        <is>
          <t>FACT_OrderLines</t>
        </is>
      </c>
    </row>
    <row r="35">
      <c r="B35" s="10" t="inlineStr">
        <is>
          <t>WORKBOOK VERSION LOG  (system-maintained — every phase appends a row here)</t>
        </is>
      </c>
    </row>
    <row r="36" ht="18" customHeight="1">
      <c r="B36" s="39" t="inlineStr">
        <is>
          <t>Version</t>
        </is>
      </c>
      <c r="C36" s="39" t="inlineStr">
        <is>
          <t>Date</t>
        </is>
      </c>
      <c r="D36" s="39" t="inlineStr">
        <is>
          <t>Phase</t>
        </is>
      </c>
      <c r="E36" s="39" t="inlineStr">
        <is>
          <t>Summary</t>
        </is>
      </c>
    </row>
    <row r="37">
      <c r="B37" s="27" t="inlineStr">
        <is>
          <t>1.0</t>
        </is>
      </c>
      <c r="C37" s="27" t="inlineStr">
        <is>
          <t>2026-07-26</t>
        </is>
      </c>
      <c r="D37" s="27" t="inlineStr">
        <is>
          <t>Phase 1 — Workbook Foundation</t>
        </is>
      </c>
      <c r="E37" s="27" t="inlineStr">
        <is>
          <t>Structure, tables, named ranges, documentation. No live data, no calculations.</t>
        </is>
      </c>
    </row>
    <row r="38">
      <c r="B38" s="27" t="inlineStr">
        <is>
          <t>1.1</t>
        </is>
      </c>
      <c r="C38" s="27" t="inlineStr">
        <is>
          <t>2026-07-26</t>
        </is>
      </c>
      <c r="D38" s="27" t="inlineStr">
        <is>
          <t>Phase 1 Finalization</t>
        </is>
      </c>
      <c r="E38" s="27" t="inlineStr">
        <is>
          <t>01_Home's Workbook Version / Phase Completed KPI cards now read this table's last row live via formula — every future phase appends a row here and Home updates automatically.</t>
        </is>
      </c>
    </row>
    <row r="39">
      <c r="B39" s="27" t="inlineStr">
        <is>
          <t>2.0</t>
        </is>
      </c>
      <c r="C39" s="27" t="inlineStr">
        <is>
          <t>2026-07-26</t>
        </is>
      </c>
      <c r="D39" s="27" t="inlineStr">
        <is>
          <t>Phase 2 — Shopify GraphQL Ingestion Layer</t>
        </is>
      </c>
      <c r="E39" s="27" t="inlineStr">
        <is>
          <t>Complete Power Query M layer: authentication (Extension.CurrentCredential, no hardcoded tokens), automatic cursor pagination, incremental refresh, HTTP/GraphQL error handling with backoff. Covers Products, Variants, Orders, Order Lines, Customers, Collections, Inventory Levels, Transactions, Refunds, Discounts — read-only (GraphQL query operations only). Added RAW_Transactions and RAW_Discounts staging sheets; revised RAW_Refunds and RAW_InventoryLevels to match verified Shopify Admin API schema. See /passress-mis/power-query/README.md and DOCUMENTATION.md. No dashboards yet.</t>
        </is>
      </c>
    </row>
    <row r="40">
      <c r="B40" s="27" t="inlineStr">
        <is>
          <t>3.0</t>
        </is>
      </c>
      <c r="C40" s="27" t="inlineStr">
        <is>
          <t>2026-07-26</t>
        </is>
      </c>
      <c r="D40" s="27" t="inlineStr">
        <is>
          <t>Phase 3 — Business Master Data &amp; Manual-Entry Engine</t>
        </is>
      </c>
      <c r="E40" s="27" t="inlineStr">
        <is>
          <t>Product Cost Master with historical/versioned costing (05_Products). Complete Manual Expenses module: category/subcategory lookups, duplicate-flag column, document references (10_Expenses). Capital module (11_Capital). Expanded Supplier Master + full Purchase Order engine — Header/Lines/Goods Receipt with a Draft-to-Closed status workflow (12_Suppliers). Every dropdown sourced from an editable lookup table on 15_Settings — no hardcoded values — with input prompts and stop-on-error messages. SKU/Collection dropdowns reference the live Shopify RAW_ tables, not a separate manual list. New hidden Data-Model-ready mirrors: DIM_Supplier, DIM_ProductCostHistory, FACT_CapitalTransactions, FACT_PurchaseOrderHeader, FACT_PurchaseOrderLines, FACT_GoodsReceipt. See /passress-mis/PHASE3_DOCUMENTATION.md. Still no dashboards, PivotTables, DAX, or financial statements.</t>
        </is>
      </c>
    </row>
    <row r="41">
      <c r="B41" s="27" t="inlineStr">
        <is>
          <t>4.0</t>
        </is>
      </c>
      <c r="C41" s="27" t="inlineStr">
        <is>
          <t>2026-07-26</t>
        </is>
      </c>
      <c r="D41" s="27" t="inlineStr">
        <is>
          <t>Phase 4 — Financial Calculation Engine (Data Model + DAX)</t>
        </is>
      </c>
      <c r="E41" s="27" t="inlineStr">
        <is>
          <t>Completed the RAW_/manual-table -&gt; star-schema transformation layer Phase 1 sketched but Phase 2-3 left empty (power-query/star-schema/, 18 M files): DIM_Date (generated calendar, fiscal-year aware), DIM_Product/Customer/Location/Collection/Supplier/ProductCostHistory, and every FACT_ table, including historically-correct COGS resolved per order line via fn_GetEffectiveCost (SKU + order date -&gt; the Product Cost Master row active on that date, never today's cost). Full DAX measure library (dax/MEASURES.md): P&amp;L, Balance Sheet, Cash Flow, Product Profitability, Customer Metrics (incl. cohorts), Inventory Metrics, Executive KPIs, and a full time-intelligence layer (MTD/QTD/YTD/previous period/SPLY/rolling 30-90-365) applied to the headline measures with the reusable pattern documented for extending to any other. Built as composable base measures referenced by name from composite ones — no duplicated calculations. Reconciliation section validates Balance Sheet (Assets=Liabilities+Equity), Cash Position (direct vs. indirect), Net Sales (FACT vs. RAW Shopify totals), and refund/cost-coverage integrity. Accounts Payable is a documented proxy (no payment-status field exists yet — flagged, not silently assumed). See /passress-mis/dax/README.md and MEASURES.md. Still no dashboards, PivotTables, PivotCharts, or KPI cards.</t>
        </is>
      </c>
    </row>
    <row r="42">
      <c r="B42" s="27" t="inlineStr">
        <is>
          <t>5.0</t>
        </is>
      </c>
      <c r="C42" s="27" t="inlineStr">
        <is>
          <t>2026-07-26</t>
        </is>
      </c>
      <c r="D42" s="27" t="inlineStr">
        <is>
          <t>Phase 5 — BI Application Layer (Dashboards, Insights, Alerts, Budget, Forecast)</t>
        </is>
      </c>
      <c r="E42" s="27" t="inlineStr">
        <is>
          <t>02_Partner_Dashboard and 03_CEO_Dashboard rebuilt with real content: live KPI cards, a 12-month trend chart, and a Top-5-products list, all built with CUBEVALUE/CUBESET/CUBERANKEDMEMBER formulas reading the Data Model directly — no PivotTable required, so these resolve for real once the Data Model is wired, not just placeholders. BI_Insights and BI_Alerts (new hidden BI_ sheets): CUBEVALUE-driven auto-generated business insights and operational alerts, reusing Phase 2-4's own data-quality/reconciliation logic rather than duplicating it. BI_Forecast: rolling linear-trend forecasts (Excel's native FORECAST.LINEAR) for Sales/Expenses/Profit/Inventory/Cash, with an explicit Method column so a future AI forecasting layer is a swap-in, not a redesign. KPI Targets (15_Settings) and a yearly/monthly Budget module (08_Finance) with Actual-vs-Target and Actual/Forecast-vs-Budget DAX measures (dax/PHASE5_MEASURES_ADDENDUM.md, additive to Phase 4's MEASURES.md). Marketing-Ready Layer: 6 reserved, unconnected RAW_ tables (Meta/Google Analytics/Google Ads/TikTok/Email/Influencer) plus FACT_MarketingSpend, matching Phase 1's original placeholder pattern. FUTURE_AI_Insights: a reserved, unimplemented inventory of future AI features. Every dashboard now has a clickable breadcrumb back to 01_Home (title_bar's Home link). Global Filters panel (01_Home) prepares named filter cells for future slicer-equivalent filtering; native Excel Slicers still need real PivotTables (Phase 6) to attach to. Dashboards are landscape, fit-to-width, print-area-scoped for clean PDF export. See /passress-mis/PHASE5_DOCUMENTATION.md.</t>
        </is>
      </c>
    </row>
    <row r="45">
      <c r="B45" s="10" t="inlineStr">
        <is>
          <t>MASTER DATA LOOKUP TABLES  (orange cells = configurable — edit freely, every dropdown in the workbook reads from here)</t>
        </is>
      </c>
    </row>
    <row r="46" ht="16" customHeight="1">
      <c r="B46" s="40" t="inlineStr">
        <is>
          <t>Expense Category</t>
        </is>
      </c>
    </row>
    <row r="47">
      <c r="B47" s="43" t="inlineStr">
        <is>
          <t>Rent</t>
        </is>
      </c>
    </row>
    <row r="48">
      <c r="B48" s="43" t="inlineStr">
        <is>
          <t>Utilities</t>
        </is>
      </c>
    </row>
    <row r="49">
      <c r="B49" s="43" t="inlineStr">
        <is>
          <t>Salaries</t>
        </is>
      </c>
    </row>
    <row r="50">
      <c r="B50" s="43" t="inlineStr">
        <is>
          <t>Marketing</t>
        </is>
      </c>
    </row>
    <row r="51">
      <c r="B51" s="43" t="inlineStr">
        <is>
          <t>Shipping &amp; Logistics</t>
        </is>
      </c>
    </row>
    <row r="52">
      <c r="B52" s="43" t="inlineStr">
        <is>
          <t>Packaging</t>
        </is>
      </c>
    </row>
    <row r="53">
      <c r="B53" s="43" t="inlineStr">
        <is>
          <t>Software &amp; Subscriptions</t>
        </is>
      </c>
    </row>
    <row r="54">
      <c r="B54" s="43" t="inlineStr">
        <is>
          <t>Professional Fees</t>
        </is>
      </c>
    </row>
    <row r="55">
      <c r="B55" s="43" t="inlineStr">
        <is>
          <t>Bank Charges</t>
        </is>
      </c>
    </row>
    <row r="56">
      <c r="B56" s="43" t="inlineStr">
        <is>
          <t>Other</t>
        </is>
      </c>
    </row>
    <row r="58" ht="16" customHeight="1">
      <c r="B58" s="40" t="inlineStr">
        <is>
          <t>Expense Subcategory</t>
        </is>
      </c>
    </row>
    <row r="59">
      <c r="B59" s="43" t="inlineStr">
        <is>
          <t>General</t>
        </is>
      </c>
    </row>
    <row r="60">
      <c r="B60" s="43" t="inlineStr">
        <is>
          <t>Office</t>
        </is>
      </c>
    </row>
    <row r="61">
      <c r="B61" s="43" t="inlineStr">
        <is>
          <t>Warehouse</t>
        </is>
      </c>
    </row>
    <row r="62">
      <c r="B62" s="43" t="inlineStr">
        <is>
          <t>Online Ads</t>
        </is>
      </c>
    </row>
    <row r="63">
      <c r="B63" s="43" t="inlineStr">
        <is>
          <t>Influencer</t>
        </is>
      </c>
    </row>
    <row r="64">
      <c r="B64" s="43" t="inlineStr">
        <is>
          <t>Photography</t>
        </is>
      </c>
    </row>
    <row r="65">
      <c r="B65" s="43" t="inlineStr">
        <is>
          <t>Courier</t>
        </is>
      </c>
    </row>
    <row r="66">
      <c r="B66" s="43" t="inlineStr">
        <is>
          <t>Customs &amp; Duties</t>
        </is>
      </c>
    </row>
    <row r="67">
      <c r="B67" s="43" t="inlineStr">
        <is>
          <t>Software License</t>
        </is>
      </c>
    </row>
    <row r="68">
      <c r="B68" s="43" t="inlineStr">
        <is>
          <t>Legal</t>
        </is>
      </c>
    </row>
    <row r="69">
      <c r="B69" s="43" t="inlineStr">
        <is>
          <t>Accounting</t>
        </is>
      </c>
    </row>
    <row r="70">
      <c r="B70" s="43" t="inlineStr">
        <is>
          <t>Other</t>
        </is>
      </c>
    </row>
    <row r="72" ht="16" customHeight="1">
      <c r="B72" s="40" t="inlineStr">
        <is>
          <t>Cost Center</t>
        </is>
      </c>
    </row>
    <row r="73">
      <c r="B73" s="43" t="inlineStr">
        <is>
          <t>Head Office</t>
        </is>
      </c>
    </row>
    <row r="74">
      <c r="B74" s="43" t="inlineStr">
        <is>
          <t>Warehouse</t>
        </is>
      </c>
    </row>
    <row r="75">
      <c r="B75" s="43" t="inlineStr">
        <is>
          <t>E-Commerce</t>
        </is>
      </c>
    </row>
    <row r="76">
      <c r="B76" s="43" t="inlineStr">
        <is>
          <t>Marketing</t>
        </is>
      </c>
    </row>
    <row r="77">
      <c r="B77" s="43" t="inlineStr">
        <is>
          <t>Production</t>
        </is>
      </c>
    </row>
    <row r="79" ht="16" customHeight="1">
      <c r="B79" s="40" t="inlineStr">
        <is>
          <t>Payment Method</t>
        </is>
      </c>
    </row>
    <row r="80">
      <c r="B80" s="43" t="inlineStr">
        <is>
          <t>Bank Transfer</t>
        </is>
      </c>
    </row>
    <row r="81">
      <c r="B81" s="43" t="inlineStr">
        <is>
          <t>Cash</t>
        </is>
      </c>
    </row>
    <row r="82">
      <c r="B82" s="43" t="inlineStr">
        <is>
          <t>Credit Card</t>
        </is>
      </c>
    </row>
    <row r="83">
      <c r="B83" s="43" t="inlineStr">
        <is>
          <t>Instapay</t>
        </is>
      </c>
    </row>
    <row r="84">
      <c r="B84" s="43" t="inlineStr">
        <is>
          <t>Cheque</t>
        </is>
      </c>
    </row>
    <row r="85">
      <c r="B85" s="43" t="inlineStr">
        <is>
          <t>Other</t>
        </is>
      </c>
    </row>
    <row r="87" ht="16" customHeight="1">
      <c r="B87" s="40" t="inlineStr">
        <is>
          <t>Currency</t>
        </is>
      </c>
    </row>
    <row r="88">
      <c r="B88" s="43" t="inlineStr">
        <is>
          <t>EGP</t>
        </is>
      </c>
    </row>
    <row r="89">
      <c r="B89" s="43" t="inlineStr">
        <is>
          <t>USD</t>
        </is>
      </c>
    </row>
    <row r="90">
      <c r="B90" s="43" t="inlineStr">
        <is>
          <t>EUR</t>
        </is>
      </c>
    </row>
    <row r="91">
      <c r="B91" s="43" t="inlineStr">
        <is>
          <t>GBP</t>
        </is>
      </c>
    </row>
    <row r="93" ht="16" customHeight="1">
      <c r="B93" s="40" t="inlineStr">
        <is>
          <t>Supplier Type</t>
        </is>
      </c>
    </row>
    <row r="94">
      <c r="B94" s="43" t="inlineStr">
        <is>
          <t>Fabric</t>
        </is>
      </c>
    </row>
    <row r="95">
      <c r="B95" s="43" t="inlineStr">
        <is>
          <t>Accessories</t>
        </is>
      </c>
    </row>
    <row r="96">
      <c r="B96" s="43" t="inlineStr">
        <is>
          <t>Manufacturing</t>
        </is>
      </c>
    </row>
    <row r="97">
      <c r="B97" s="43" t="inlineStr">
        <is>
          <t>Packaging</t>
        </is>
      </c>
    </row>
    <row r="98">
      <c r="B98" s="43" t="inlineStr">
        <is>
          <t>Logistics</t>
        </is>
      </c>
    </row>
    <row r="99">
      <c r="B99" s="43" t="inlineStr">
        <is>
          <t>Marketing Agency</t>
        </is>
      </c>
    </row>
    <row r="100">
      <c r="B100" s="43" t="inlineStr">
        <is>
          <t>Software Vendor</t>
        </is>
      </c>
    </row>
    <row r="101">
      <c r="B101" s="43" t="inlineStr">
        <is>
          <t>Other</t>
        </is>
      </c>
    </row>
    <row r="103" ht="16" customHeight="1">
      <c r="B103" s="40" t="inlineStr">
        <is>
          <t>Supplier Status</t>
        </is>
      </c>
    </row>
    <row r="104">
      <c r="B104" s="43" t="inlineStr">
        <is>
          <t>Active</t>
        </is>
      </c>
    </row>
    <row r="105">
      <c r="B105" s="43" t="inlineStr">
        <is>
          <t>Inactive</t>
        </is>
      </c>
    </row>
    <row r="106">
      <c r="B106" s="43" t="inlineStr">
        <is>
          <t>On Hold</t>
        </is>
      </c>
    </row>
    <row r="108" ht="16" customHeight="1">
      <c r="B108" s="40" t="inlineStr">
        <is>
          <t>Capital Transaction Type</t>
        </is>
      </c>
    </row>
    <row r="109">
      <c r="B109" s="43" t="inlineStr">
        <is>
          <t>Capital Contribution</t>
        </is>
      </c>
    </row>
    <row r="110">
      <c r="B110" s="43" t="inlineStr">
        <is>
          <t>Capital Withdrawal</t>
        </is>
      </c>
    </row>
    <row r="112" ht="16" customHeight="1">
      <c r="B112" s="40" t="inlineStr">
        <is>
          <t>PO Status</t>
        </is>
      </c>
    </row>
    <row r="113">
      <c r="B113" s="43" t="inlineStr">
        <is>
          <t>Draft</t>
        </is>
      </c>
    </row>
    <row r="114">
      <c r="B114" s="43" t="inlineStr">
        <is>
          <t>Approved</t>
        </is>
      </c>
    </row>
    <row r="115">
      <c r="B115" s="43" t="inlineStr">
        <is>
          <t>Sent</t>
        </is>
      </c>
    </row>
    <row r="116">
      <c r="B116" s="43" t="inlineStr">
        <is>
          <t>Partially Received</t>
        </is>
      </c>
    </row>
    <row r="117">
      <c r="B117" s="43" t="inlineStr">
        <is>
          <t>Received</t>
        </is>
      </c>
    </row>
    <row r="118">
      <c r="B118" s="43" t="inlineStr">
        <is>
          <t>Closed</t>
        </is>
      </c>
    </row>
    <row r="119">
      <c r="B119" s="43" t="inlineStr">
        <is>
          <t>Cancelled</t>
        </is>
      </c>
    </row>
    <row r="121" ht="16" customHeight="1">
      <c r="B121" s="40" t="inlineStr">
        <is>
          <t>Warehouse</t>
        </is>
      </c>
    </row>
    <row r="122">
      <c r="B122" s="43" t="inlineStr">
        <is>
          <t>Main Warehouse</t>
        </is>
      </c>
    </row>
    <row r="123">
      <c r="B123" s="43" t="inlineStr">
        <is>
          <t>Retail Store</t>
        </is>
      </c>
    </row>
    <row r="124">
      <c r="B124" s="43" t="inlineStr">
        <is>
          <t>Third-Party Logistics</t>
        </is>
      </c>
    </row>
    <row r="126" ht="16" customHeight="1">
      <c r="B126" s="40" t="inlineStr">
        <is>
          <t>Owner</t>
        </is>
      </c>
    </row>
    <row r="127">
      <c r="B127" s="43" t="inlineStr">
        <is>
          <t>Founder</t>
        </is>
      </c>
    </row>
    <row r="129" ht="16" customHeight="1">
      <c r="B129" s="40" t="inlineStr">
        <is>
          <t>Budget Period</t>
        </is>
      </c>
    </row>
    <row r="130">
      <c r="B130" s="43" t="inlineStr">
        <is>
          <t>Monthly</t>
        </is>
      </c>
    </row>
    <row r="131">
      <c r="B131" s="43" t="inlineStr">
        <is>
          <t>Yearly</t>
        </is>
      </c>
    </row>
    <row r="133" ht="16" customHeight="1">
      <c r="B133" s="40" t="inlineStr">
        <is>
          <t>Budget Category</t>
        </is>
      </c>
    </row>
    <row r="134">
      <c r="B134" s="43" t="inlineStr">
        <is>
          <t>Revenue</t>
        </is>
      </c>
    </row>
    <row r="135">
      <c r="B135" s="43" t="inlineStr">
        <is>
          <t>Expense</t>
        </is>
      </c>
    </row>
    <row r="136">
      <c r="B136" s="43" t="inlineStr">
        <is>
          <t>Marketing</t>
        </is>
      </c>
    </row>
    <row r="137">
      <c r="B137" s="43" t="inlineStr">
        <is>
          <t>Purchasing</t>
        </is>
      </c>
    </row>
    <row r="138">
      <c r="B138" s="43" t="inlineStr">
        <is>
          <t>Profit</t>
        </is>
      </c>
    </row>
    <row r="140" ht="16" customHeight="1">
      <c r="B140" s="40" t="inlineStr">
        <is>
          <t>Alert Severity</t>
        </is>
      </c>
    </row>
    <row r="141">
      <c r="B141" s="43" t="inlineStr">
        <is>
          <t>Info</t>
        </is>
      </c>
    </row>
    <row r="142">
      <c r="B142" s="43" t="inlineStr">
        <is>
          <t>Warning</t>
        </is>
      </c>
    </row>
    <row r="143">
      <c r="B143" s="43" t="inlineStr">
        <is>
          <t>Critical</t>
        </is>
      </c>
    </row>
    <row r="146">
      <c r="B146" s="10" t="inlineStr">
        <is>
          <t>KPI TARGETS  (green Target Value cells = type here)</t>
        </is>
      </c>
    </row>
    <row r="147" ht="18" customHeight="1">
      <c r="B147" s="33" t="inlineStr">
        <is>
          <t>KPI Name</t>
        </is>
      </c>
      <c r="C147" s="33" t="inlineStr">
        <is>
          <t>Target Value</t>
        </is>
      </c>
      <c r="D147" s="33" t="inlineStr">
        <is>
          <t>Unit</t>
        </is>
      </c>
      <c r="E147" s="33" t="inlineStr">
        <is>
          <t>Period</t>
        </is>
      </c>
      <c r="F147" s="33" t="inlineStr">
        <is>
          <t>Notes</t>
        </is>
      </c>
    </row>
    <row r="148">
      <c r="B148" s="27" t="inlineStr">
        <is>
          <t>Sales Target</t>
        </is>
      </c>
      <c r="C148" s="44" t="n">
        <v>500000</v>
      </c>
      <c r="D148" s="27" t="inlineStr">
        <is>
          <t>EGP</t>
        </is>
      </c>
      <c r="E148" s="44" t="inlineStr">
        <is>
          <t>Monthly</t>
        </is>
      </c>
      <c r="F148" s="27" t="inlineStr">
        <is>
          <t>Net Sales target</t>
        </is>
      </c>
    </row>
    <row r="149">
      <c r="B149" s="27" t="inlineStr">
        <is>
          <t>Margin Target</t>
        </is>
      </c>
      <c r="C149" s="44" t="n">
        <v>0.55</v>
      </c>
      <c r="D149" s="27" t="inlineStr">
        <is>
          <t>%</t>
        </is>
      </c>
      <c r="E149" s="44" t="inlineStr">
        <is>
          <t>Monthly</t>
        </is>
      </c>
      <c r="F149" s="27" t="inlineStr">
        <is>
          <t>Gross Margin % target</t>
        </is>
      </c>
    </row>
    <row r="150">
      <c r="B150" s="27" t="inlineStr">
        <is>
          <t>Orders Target</t>
        </is>
      </c>
      <c r="C150" s="44" t="n">
        <v>400</v>
      </c>
      <c r="D150" s="27" t="inlineStr">
        <is>
          <t>Count</t>
        </is>
      </c>
      <c r="E150" s="44" t="inlineStr">
        <is>
          <t>Monthly</t>
        </is>
      </c>
      <c r="F150" s="27" t="inlineStr">
        <is>
          <t>Order Count target</t>
        </is>
      </c>
    </row>
    <row r="151">
      <c r="B151" s="27" t="inlineStr">
        <is>
          <t>Inventory Target</t>
        </is>
      </c>
      <c r="C151" s="44" t="n">
        <v>300000</v>
      </c>
      <c r="D151" s="27" t="inlineStr">
        <is>
          <t>EGP</t>
        </is>
      </c>
      <c r="E151" s="44" t="inlineStr">
        <is>
          <t>Monthly</t>
        </is>
      </c>
      <c r="F151" s="27" t="inlineStr">
        <is>
          <t>Inventory Value ceiling (avoid overstock)</t>
        </is>
      </c>
    </row>
    <row r="152">
      <c r="B152" s="27" t="inlineStr">
        <is>
          <t>AOV Target</t>
        </is>
      </c>
      <c r="C152" s="44" t="n">
        <v>1200</v>
      </c>
      <c r="D152" s="27" t="inlineStr">
        <is>
          <t>EGP</t>
        </is>
      </c>
      <c r="E152" s="44" t="inlineStr">
        <is>
          <t>Monthly</t>
        </is>
      </c>
      <c r="F152" s="27" t="inlineStr">
        <is>
          <t>Average Order Value target</t>
        </is>
      </c>
    </row>
    <row r="153">
      <c r="B153" s="27" t="inlineStr">
        <is>
          <t>CAC Target</t>
        </is>
      </c>
      <c r="C153" s="44" t="n">
        <v>150</v>
      </c>
      <c r="D153" s="27" t="inlineStr">
        <is>
          <t>EGP</t>
        </is>
      </c>
      <c r="E153" s="44" t="inlineStr">
        <is>
          <t>Monthly</t>
        </is>
      </c>
      <c r="F153" s="27" t="inlineStr">
        <is>
          <t>Customer Acquisition Cost ceiling — needs Marketing-Ready spend data (Phase 6+) to compute Actual</t>
        </is>
      </c>
    </row>
    <row r="154">
      <c r="B154" s="27" t="inlineStr">
        <is>
          <t>ROAS Target</t>
        </is>
      </c>
      <c r="C154" s="44" t="n">
        <v>4</v>
      </c>
      <c r="D154" s="27" t="inlineStr">
        <is>
          <t>Ratio</t>
        </is>
      </c>
      <c r="E154" s="44" t="inlineStr">
        <is>
          <t>Monthly</t>
        </is>
      </c>
      <c r="F154" s="27" t="inlineStr">
        <is>
          <t>Return on Ad Spend target — needs Marketing-Ready spend data (Phase 6+) to compute Actual</t>
        </is>
      </c>
    </row>
    <row r="155">
      <c r="B155" s="27" t="inlineStr">
        <is>
          <t>Repeat Customer % Target</t>
        </is>
      </c>
      <c r="C155" s="44" t="n">
        <v>0.3</v>
      </c>
      <c r="D155" s="27" t="inlineStr">
        <is>
          <t>%</t>
        </is>
      </c>
      <c r="E155" s="44" t="inlineStr">
        <is>
          <t>Monthly</t>
        </is>
      </c>
      <c r="F155" s="27" t="inlineStr">
        <is>
          <t>Returning Customers / Customers Active target</t>
        </is>
      </c>
    </row>
    <row r="156">
      <c r="B156" s="27" t="inlineStr">
        <is>
          <t>Conversion Rate Target</t>
        </is>
      </c>
      <c r="C156" s="44" t="n">
        <v>0.02</v>
      </c>
      <c r="D156" s="27" t="inlineStr">
        <is>
          <t>%</t>
        </is>
      </c>
      <c r="E156" s="44" t="inlineStr">
        <is>
          <t>Monthly</t>
        </is>
      </c>
      <c r="F156" s="27" t="inlineStr">
        <is>
          <t>Needs Shopify session/traffic data (not fetched — Admin API has no storefront analytics) to compute Actual</t>
        </is>
      </c>
    </row>
    <row r="157">
      <c r="B157" s="27" t="inlineStr">
        <is>
          <t>Inventory Turnover Target</t>
        </is>
      </c>
      <c r="C157" s="44" t="n">
        <v>6</v>
      </c>
      <c r="D157" s="27" t="inlineStr">
        <is>
          <t>Ratio</t>
        </is>
      </c>
      <c r="E157" s="44" t="inlineStr">
        <is>
          <t>Yearly</t>
        </is>
      </c>
      <c r="F157" s="27" t="inlineStr">
        <is>
          <t>COGS / Average Inventory Value target</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dataValidations count="1">
    <dataValidation sqref="E148:E157" showDropDown="0" showInputMessage="1" showErrorMessage="1" allowBlank="1" errorTitle="Invalid entry" error="Please choose a value from the Period list — free text isn't accepted here." promptTitle="Period" prompt="Monthly or Yearly." type="list" errorStyle="stop">
      <formula1>=LookupBudgetPeriod</formula1>
    </dataValidation>
  </dataValidations>
  <hyperlinks>
    <hyperlink xmlns:r="http://schemas.openxmlformats.org/officeDocument/2006/relationships" ref="A2" r:id="rId1"/>
  </hyperlinks>
  <pageMargins left="0.75" right="0.75" top="1" bottom="1" header="0.5" footer="0.5"/>
  <tableParts count="17">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 xmlns:r="http://schemas.openxmlformats.org/officeDocument/2006/relationships" r:id="rId16"/>
    <tablePart xmlns:r="http://schemas.openxmlformats.org/officeDocument/2006/relationships" r:id="rId17"/>
    <tablePart xmlns:r="http://schemas.openxmlformats.org/officeDocument/2006/relationships" r:id="rId18"/>
  </tableParts>
</worksheet>
</file>

<file path=xl/worksheets/sheet16.xml><?xml version="1.0" encoding="utf-8"?>
<worksheet xmlns="http://schemas.openxmlformats.org/spreadsheetml/2006/main">
  <sheetPr>
    <tabColor rgb="000070C0"/>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RAW_Orders</t>
        </is>
      </c>
    </row>
    <row r="2" ht="16" customHeight="1">
      <c r="A2" s="15" t="inlineStr">
        <is>
          <t>PASSRESS MIS   |   Home ▸ RAW_Orders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OrderID</t>
        </is>
      </c>
      <c r="C11" s="45" t="inlineStr">
        <is>
          <t>OrderNumber</t>
        </is>
      </c>
      <c r="D11" s="45" t="inlineStr">
        <is>
          <t>CreatedAt</t>
        </is>
      </c>
      <c r="E11" s="45" t="inlineStr">
        <is>
          <t>UpdatedAt</t>
        </is>
      </c>
      <c r="F11" s="45" t="inlineStr">
        <is>
          <t>FinancialStatus</t>
        </is>
      </c>
      <c r="G11" s="45" t="inlineStr">
        <is>
          <t>FulfillmentStatus</t>
        </is>
      </c>
      <c r="H11" s="45" t="inlineStr">
        <is>
          <t>Currency</t>
        </is>
      </c>
      <c r="I11" s="45" t="inlineStr">
        <is>
          <t>TotalPrice</t>
        </is>
      </c>
      <c r="J11" s="45" t="inlineStr">
        <is>
          <t>SubtotalPrice</t>
        </is>
      </c>
      <c r="K11" s="45" t="inlineStr">
        <is>
          <t>TotalDiscounts</t>
        </is>
      </c>
      <c r="L11" s="45" t="inlineStr">
        <is>
          <t>TotalTax</t>
        </is>
      </c>
      <c r="M11" s="45" t="inlineStr">
        <is>
          <t>CustomerID</t>
        </is>
      </c>
      <c r="N11" s="45" t="inlineStr">
        <is>
          <t>LocationID</t>
        </is>
      </c>
    </row>
    <row r="12">
      <c r="B12" s="46" t="n"/>
      <c r="C12" s="46" t="n"/>
      <c r="D12" s="46" t="n"/>
      <c r="E12" s="46" t="n"/>
      <c r="F12" s="46" t="n"/>
      <c r="G12" s="46" t="n"/>
      <c r="H12" s="46" t="n"/>
      <c r="I12" s="46" t="n"/>
      <c r="J12" s="46" t="n"/>
      <c r="K12" s="46" t="n"/>
      <c r="L12" s="46" t="n"/>
      <c r="M12" s="46" t="n"/>
      <c r="N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7.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RAW_OrderLines</t>
        </is>
      </c>
    </row>
    <row r="2" ht="16" customHeight="1">
      <c r="A2" s="15" t="inlineStr">
        <is>
          <t>PASSRESS MIS   |   Home ▸ RAW_OrderLines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OrderLines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passress-mis/power-query/staging/RAW_OrderLines.pq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LineItemID</t>
        </is>
      </c>
      <c r="C11" s="45" t="inlineStr">
        <is>
          <t>OrderID</t>
        </is>
      </c>
      <c r="D11" s="45" t="inlineStr">
        <is>
          <t>ProductID</t>
        </is>
      </c>
      <c r="E11" s="45" t="inlineStr">
        <is>
          <t>VariantID</t>
        </is>
      </c>
      <c r="F11" s="45" t="inlineStr">
        <is>
          <t>SKU</t>
        </is>
      </c>
      <c r="G11" s="45" t="inlineStr">
        <is>
          <t>Title</t>
        </is>
      </c>
      <c r="H11" s="45" t="inlineStr">
        <is>
          <t>Quantity</t>
        </is>
      </c>
      <c r="I11" s="45" t="inlineStr">
        <is>
          <t>UnitPrice</t>
        </is>
      </c>
      <c r="J11" s="45" t="inlineStr">
        <is>
          <t>DiscountAllocated</t>
        </is>
      </c>
      <c r="K11" s="45" t="inlineStr">
        <is>
          <t>TaxAllocated</t>
        </is>
      </c>
    </row>
    <row r="12">
      <c r="B12" s="46" t="n"/>
      <c r="C12" s="46" t="n"/>
      <c r="D12" s="46" t="n"/>
      <c r="E12" s="46" t="n"/>
      <c r="F12" s="46" t="n"/>
      <c r="G12" s="46" t="n"/>
      <c r="H12" s="46" t="n"/>
      <c r="I12" s="46" t="n"/>
      <c r="J12" s="46" t="n"/>
      <c r="K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8.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RAW_Transactions</t>
        </is>
      </c>
    </row>
    <row r="2" ht="16" customHeight="1">
      <c r="A2" s="15" t="inlineStr">
        <is>
          <t>PASSRESS MIS   |   Home ▸ RAW_Transactions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Transactions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passress-mis/power-query/staging/RAW_Transactions.pq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TransactionID</t>
        </is>
      </c>
      <c r="C11" s="45" t="inlineStr">
        <is>
          <t>OrderID</t>
        </is>
      </c>
      <c r="D11" s="45" t="inlineStr">
        <is>
          <t>Kind</t>
        </is>
      </c>
      <c r="E11" s="45" t="inlineStr">
        <is>
          <t>Status</t>
        </is>
      </c>
      <c r="F11" s="45" t="inlineStr">
        <is>
          <t>Gateway</t>
        </is>
      </c>
      <c r="G11" s="45" t="inlineStr">
        <is>
          <t>AmountShop</t>
        </is>
      </c>
      <c r="H11" s="45" t="inlineStr">
        <is>
          <t>CurrencyShop</t>
        </is>
      </c>
      <c r="I11" s="45" t="inlineStr">
        <is>
          <t>CreatedAt</t>
        </is>
      </c>
      <c r="J11" s="45" t="inlineStr">
        <is>
          <t>ProcessedAt</t>
        </is>
      </c>
      <c r="K11" s="45" t="inlineStr">
        <is>
          <t>Test</t>
        </is>
      </c>
    </row>
    <row r="12">
      <c r="B12" s="46" t="n"/>
      <c r="C12" s="46" t="n"/>
      <c r="D12" s="46" t="n"/>
      <c r="E12" s="46" t="n"/>
      <c r="F12" s="46" t="n"/>
      <c r="G12" s="46" t="n"/>
      <c r="H12" s="46" t="n"/>
      <c r="I12" s="46" t="n"/>
      <c r="J12" s="46" t="n"/>
      <c r="K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9.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RAW_Refunds</t>
        </is>
      </c>
    </row>
    <row r="2" ht="16" customHeight="1">
      <c r="A2" s="15" t="inlineStr">
        <is>
          <t>PASSRESS MIS   |   Home ▸ RAW_Refunds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Refunds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passress-mis/power-query/staging/RAW_Refunds.pq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RefundLineItemID</t>
        </is>
      </c>
      <c r="C11" s="45" t="inlineStr">
        <is>
          <t>RefundID</t>
        </is>
      </c>
      <c r="D11" s="45" t="inlineStr">
        <is>
          <t>OrderID</t>
        </is>
      </c>
      <c r="E11" s="45" t="inlineStr">
        <is>
          <t>LineItemID</t>
        </is>
      </c>
      <c r="F11" s="45" t="inlineStr">
        <is>
          <t>Quantity</t>
        </is>
      </c>
      <c r="G11" s="45" t="inlineStr">
        <is>
          <t>SubtotalAmount</t>
        </is>
      </c>
      <c r="H11" s="45" t="inlineStr">
        <is>
          <t>TaxAmount</t>
        </is>
      </c>
      <c r="I11" s="45" t="inlineStr">
        <is>
          <t>RefundCreatedAt</t>
        </is>
      </c>
      <c r="J11" s="45" t="inlineStr">
        <is>
          <t>RefundProcessedAt</t>
        </is>
      </c>
      <c r="K11" s="45" t="inlineStr">
        <is>
          <t>Note</t>
        </is>
      </c>
    </row>
    <row r="12">
      <c r="B12" s="46" t="n"/>
      <c r="C12" s="46" t="n"/>
      <c r="D12" s="46" t="n"/>
      <c r="E12" s="46" t="n"/>
      <c r="F12" s="46" t="n"/>
      <c r="G12" s="46" t="n"/>
      <c r="H12" s="46" t="n"/>
      <c r="I12" s="46" t="n"/>
      <c r="J12" s="46" t="n"/>
      <c r="K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0.xml><?xml version="1.0" encoding="utf-8"?>
<worksheet xmlns="http://schemas.openxmlformats.org/spreadsheetml/2006/main">
  <sheetPr>
    <tabColor rgb="000070C0"/>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RAW_Products</t>
        </is>
      </c>
    </row>
    <row r="2" ht="16" customHeight="1">
      <c r="A2" s="15" t="inlineStr">
        <is>
          <t>PASSRESS MIS   |   Home ▸ RAW_Products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Products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passress-mis/power-query/staging/RAW_Products.pq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ProductID</t>
        </is>
      </c>
      <c r="C11" s="45" t="inlineStr">
        <is>
          <t>Title</t>
        </is>
      </c>
      <c r="D11" s="45" t="inlineStr">
        <is>
          <t>ProductType</t>
        </is>
      </c>
      <c r="E11" s="45" t="inlineStr">
        <is>
          <t>Vendor</t>
        </is>
      </c>
      <c r="F11" s="45" t="inlineStr">
        <is>
          <t>CollectionIDs</t>
        </is>
      </c>
      <c r="G11" s="45" t="inlineStr">
        <is>
          <t>CreatedAt</t>
        </is>
      </c>
      <c r="H11" s="45" t="inlineStr">
        <is>
          <t>UpdatedAt</t>
        </is>
      </c>
      <c r="I11" s="45" t="inlineStr">
        <is>
          <t>Status</t>
        </is>
      </c>
    </row>
    <row r="12">
      <c r="B12" s="46" t="n"/>
      <c r="C12" s="46" t="n"/>
      <c r="D12" s="46" t="n"/>
      <c r="E12" s="46" t="n"/>
      <c r="F12" s="46" t="n"/>
      <c r="G12" s="46" t="n"/>
      <c r="H12" s="46" t="n"/>
      <c r="I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1.xml><?xml version="1.0" encoding="utf-8"?>
<worksheet xmlns="http://schemas.openxmlformats.org/spreadsheetml/2006/main">
  <sheetPr>
    <tabColor rgb="000070C0"/>
    <outlinePr applyStyles="1" summaryBelow="0" summaryRight="1"/>
    <pageSetUpPr/>
  </sheetPr>
  <dimension ref="A1:K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4" customHeight="1">
      <c r="A1" s="1" t="inlineStr">
        <is>
          <t>RAW_Variants</t>
        </is>
      </c>
    </row>
    <row r="2" ht="16" customHeight="1">
      <c r="A2" s="15" t="inlineStr">
        <is>
          <t>PASSRESS MIS   |   Home ▸ RAW_Variants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Variants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passress-mis/power-query/staging/RAW_Variants.pq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VariantID</t>
        </is>
      </c>
      <c r="C11" s="45" t="inlineStr">
        <is>
          <t>ProductID</t>
        </is>
      </c>
      <c r="D11" s="45" t="inlineStr">
        <is>
          <t>SKU</t>
        </is>
      </c>
      <c r="E11" s="45" t="inlineStr">
        <is>
          <t>Title</t>
        </is>
      </c>
      <c r="F11" s="45" t="inlineStr">
        <is>
          <t>Price</t>
        </is>
      </c>
      <c r="G11" s="45" t="inlineStr">
        <is>
          <t>CompareAtPrice</t>
        </is>
      </c>
      <c r="H11" s="45" t="inlineStr">
        <is>
          <t>InventoryItemID</t>
        </is>
      </c>
      <c r="I11" s="45" t="inlineStr">
        <is>
          <t>UnitCost</t>
        </is>
      </c>
      <c r="J11" s="45" t="inlineStr">
        <is>
          <t>CreatedAt</t>
        </is>
      </c>
      <c r="K11" s="45" t="inlineStr">
        <is>
          <t>UpdatedAt</t>
        </is>
      </c>
    </row>
    <row r="12">
      <c r="B12" s="46" t="n"/>
      <c r="C12" s="46" t="n"/>
      <c r="D12" s="46" t="n"/>
      <c r="E12" s="46" t="n"/>
      <c r="F12" s="46" t="n"/>
      <c r="G12" s="46" t="n"/>
      <c r="H12" s="46" t="n"/>
      <c r="I12" s="46" t="n"/>
      <c r="J12" s="46" t="n"/>
      <c r="K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K8"/>
    <mergeCell ref="A3:K3"/>
    <mergeCell ref="B4:K4"/>
    <mergeCell ref="A2:K2"/>
    <mergeCell ref="B7:K7"/>
    <mergeCell ref="B6:K6"/>
    <mergeCell ref="A1:K1"/>
    <mergeCell ref="B5:K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2.xml><?xml version="1.0" encoding="utf-8"?>
<worksheet xmlns="http://schemas.openxmlformats.org/spreadsheetml/2006/main">
  <sheetPr>
    <tabColor rgb="000070C0"/>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RAW_InventoryLevels</t>
        </is>
      </c>
    </row>
    <row r="2" ht="16" customHeight="1">
      <c r="A2" s="15" t="inlineStr">
        <is>
          <t>PASSRESS MIS   |   Home ▸ RAW_InventoryLevels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InventoryLevels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passress-mis/power-query/staging/RAW_InventoryLevels.pq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InventoryItemID</t>
        </is>
      </c>
      <c r="C11" s="45" t="inlineStr">
        <is>
          <t>SKU</t>
        </is>
      </c>
      <c r="D11" s="45" t="inlineStr">
        <is>
          <t>LocationID</t>
        </is>
      </c>
      <c r="E11" s="45" t="inlineStr">
        <is>
          <t>Available</t>
        </is>
      </c>
      <c r="F11" s="45" t="inlineStr">
        <is>
          <t>UpdatedAt</t>
        </is>
      </c>
    </row>
    <row r="12">
      <c r="B12" s="46" t="n"/>
      <c r="C12" s="46" t="n"/>
      <c r="D12" s="46" t="n"/>
      <c r="E12" s="46" t="n"/>
      <c r="F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3.xml><?xml version="1.0" encoding="utf-8"?>
<worksheet xmlns="http://schemas.openxmlformats.org/spreadsheetml/2006/main">
  <sheetPr>
    <tabColor rgb="000070C0"/>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RAW_Customers</t>
        </is>
      </c>
    </row>
    <row r="2" ht="16" customHeight="1">
      <c r="A2" s="15" t="inlineStr">
        <is>
          <t>PASSRESS MIS   |   Home ▸ RAW_Customers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Customers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passress-mis/power-query/staging/RAW_Customers.pq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CustomerID</t>
        </is>
      </c>
      <c r="C11" s="45" t="inlineStr">
        <is>
          <t>FirstName</t>
        </is>
      </c>
      <c r="D11" s="45" t="inlineStr">
        <is>
          <t>LastName</t>
        </is>
      </c>
      <c r="E11" s="45" t="inlineStr">
        <is>
          <t>Email</t>
        </is>
      </c>
      <c r="F11" s="45" t="inlineStr">
        <is>
          <t>CreatedAt</t>
        </is>
      </c>
      <c r="G11" s="45" t="inlineStr">
        <is>
          <t>UpdatedAt</t>
        </is>
      </c>
      <c r="H11" s="45" t="inlineStr">
        <is>
          <t>OrdersCount</t>
        </is>
      </c>
      <c r="I11" s="45" t="inlineStr">
        <is>
          <t>TotalSpent</t>
        </is>
      </c>
      <c r="J11" s="45" t="inlineStr">
        <is>
          <t>DefaultAddressCountry</t>
        </is>
      </c>
    </row>
    <row r="12">
      <c r="B12" s="46" t="n"/>
      <c r="C12" s="46" t="n"/>
      <c r="D12" s="46" t="n"/>
      <c r="E12" s="46" t="n"/>
      <c r="F12" s="46" t="n"/>
      <c r="G12" s="46" t="n"/>
      <c r="H12" s="46" t="n"/>
      <c r="I12" s="46" t="n"/>
      <c r="J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4.xml><?xml version="1.0" encoding="utf-8"?>
<worksheet xmlns="http://schemas.openxmlformats.org/spreadsheetml/2006/main">
  <sheetPr>
    <tabColor rgb="000070C0"/>
    <outlinePr applyStyles="1" summaryBelow="0" summaryRight="1"/>
    <pageSetUpPr/>
  </sheetPr>
  <dimension ref="A1:D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s>
  <sheetData>
    <row r="1" ht="34" customHeight="1">
      <c r="A1" s="1" t="inlineStr">
        <is>
          <t>RAW_Collections</t>
        </is>
      </c>
    </row>
    <row r="2" ht="16" customHeight="1">
      <c r="A2" s="15" t="inlineStr">
        <is>
          <t>PASSRESS MIS   |   Home ▸ RAW_Collections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Collections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passress-mis/power-query/staging/RAW_Collections.pq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CollectionID</t>
        </is>
      </c>
      <c r="C11" s="45" t="inlineStr">
        <is>
          <t>Title</t>
        </is>
      </c>
      <c r="D11" s="45" t="inlineStr">
        <is>
          <t>Handle</t>
        </is>
      </c>
    </row>
    <row r="12">
      <c r="B12" s="46" t="n"/>
      <c r="C12" s="46" t="n"/>
      <c r="D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D1"/>
    <mergeCell ref="B5:D5"/>
    <mergeCell ref="B8:D8"/>
    <mergeCell ref="A3:D3"/>
    <mergeCell ref="B4:D4"/>
    <mergeCell ref="A2:D2"/>
    <mergeCell ref="B7:D7"/>
    <mergeCell ref="B6:D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5.xml><?xml version="1.0" encoding="utf-8"?>
<worksheet xmlns="http://schemas.openxmlformats.org/spreadsheetml/2006/main">
  <sheetPr>
    <tabColor rgb="000070C0"/>
    <outlinePr applyStyles="1" summaryBelow="0" summaryRight="1"/>
    <pageSetUpPr/>
  </sheetPr>
  <dimension ref="A1:M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4" customHeight="1">
      <c r="A1" s="1" t="inlineStr">
        <is>
          <t>RAW_Discounts</t>
        </is>
      </c>
    </row>
    <row r="2" ht="16" customHeight="1">
      <c r="A2" s="15" t="inlineStr">
        <is>
          <t>PASSRESS MIS   |   Home ▸ RAW_Discounts</t>
        </is>
      </c>
    </row>
    <row r="3" ht="14" customHeight="1">
      <c r="A3" s="3" t="inlineStr">
        <is>
          <t>Sheet Documentation  (use the  +  outline control at left to expand)</t>
        </is>
      </c>
    </row>
    <row r="4" hidden="1" outlineLevel="1" ht="13" customHeight="1">
      <c r="A4" s="4" t="inlineStr">
        <is>
          <t>Purpose</t>
        </is>
      </c>
      <c r="B4" s="5" t="inlineStr">
        <is>
          <t>Power Query staging landing zone for the Shopify Discounts resource. Shape-only transforms (type casting, flattening) happen here — no business logic.</t>
        </is>
      </c>
    </row>
    <row r="5" hidden="1" outlineLevel="1" ht="13" customHeight="1">
      <c r="A5" s="4" t="inlineStr">
        <is>
          <t>Input tables</t>
        </is>
      </c>
      <c r="B5" s="5" t="inlineStr">
        <is>
          <t>Shopify Admin GraphQL API, via the fn_ShopifyGraphQL / fn_ShopifyPagedConnection shared functions.</t>
        </is>
      </c>
    </row>
    <row r="6" hidden="1" outlineLevel="1" ht="13" customHeight="1">
      <c r="A6" s="4" t="inlineStr">
        <is>
          <t>Output tables</t>
        </is>
      </c>
      <c r="B6" s="5" t="inlineStr">
        <is>
          <t>Feeds the Data Model fact/dimension tables built from this resource (Phase 3).</t>
        </is>
      </c>
    </row>
    <row r="7" hidden="1" outlineLevel="1" ht="13" customHeight="1">
      <c r="A7" s="4" t="inlineStr">
        <is>
          <t>Relationships</t>
        </is>
      </c>
      <c r="B7" s="5" t="inlineStr">
        <is>
          <t>Connection-only in Excel; loaded to the Data Model, not to a worksheet grid, once wired in Excel.</t>
        </is>
      </c>
    </row>
    <row r="8" hidden="1" outlineLevel="1" ht="13" customHeight="1">
      <c r="A8" s="4" t="inlineStr">
        <is>
          <t>Future data source</t>
        </is>
      </c>
      <c r="B8" s="5" t="inlineStr">
        <is>
          <t>Live now: paste passress-mis/power-query/staging/RAW_Discounts.pq into this query in Excel's Power Query Advanced Editor (Data &gt; Get Data &gt; Launch Power Query Editor &gt; New Query &gt; Blank Query). See passress-mis/power-query/README.md for full setup and passress-mis/power-query/DOCUMENTATION.md for the field-by-field mapping.</t>
        </is>
      </c>
    </row>
    <row r="9" hidden="1" outlineLevel="1"/>
    <row r="10" ht="6" customHeight="1"/>
    <row r="11" ht="18" customHeight="1">
      <c r="B11" s="45" t="inlineStr">
        <is>
          <t>DiscountNodeID</t>
        </is>
      </c>
      <c r="C11" s="45" t="inlineStr">
        <is>
          <t>Typename</t>
        </is>
      </c>
      <c r="D11" s="45" t="inlineStr">
        <is>
          <t>Title</t>
        </is>
      </c>
      <c r="E11" s="45" t="inlineStr">
        <is>
          <t>Status</t>
        </is>
      </c>
      <c r="F11" s="45" t="inlineStr">
        <is>
          <t>Summary</t>
        </is>
      </c>
      <c r="G11" s="45" t="inlineStr">
        <is>
          <t>Code</t>
        </is>
      </c>
      <c r="H11" s="45" t="inlineStr">
        <is>
          <t>StartsAt</t>
        </is>
      </c>
      <c r="I11" s="45" t="inlineStr">
        <is>
          <t>EndsAt</t>
        </is>
      </c>
      <c r="J11" s="45" t="inlineStr">
        <is>
          <t>UsageLimit</t>
        </is>
      </c>
      <c r="K11" s="45" t="inlineStr">
        <is>
          <t>AsyncUsageCount</t>
        </is>
      </c>
      <c r="L11" s="45" t="inlineStr">
        <is>
          <t>CreatedAt</t>
        </is>
      </c>
      <c r="M11" s="45" t="inlineStr">
        <is>
          <t>UpdatedAt</t>
        </is>
      </c>
    </row>
    <row r="12">
      <c r="B12" s="46" t="n"/>
      <c r="C12" s="46" t="n"/>
      <c r="D12" s="46" t="n"/>
      <c r="E12" s="46" t="n"/>
      <c r="F12" s="46" t="n"/>
      <c r="G12" s="46" t="n"/>
      <c r="H12" s="46" t="n"/>
      <c r="I12" s="46" t="n"/>
      <c r="J12" s="46" t="n"/>
      <c r="K12" s="46" t="n"/>
      <c r="L12" s="46" t="n"/>
      <c r="M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M6"/>
    <mergeCell ref="B7:M7"/>
    <mergeCell ref="A1:M1"/>
    <mergeCell ref="B5:M5"/>
    <mergeCell ref="B8:M8"/>
    <mergeCell ref="A3:M3"/>
    <mergeCell ref="B4:M4"/>
    <mergeCell ref="A2:M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6.xml><?xml version="1.0" encoding="utf-8"?>
<worksheet xmlns="http://schemas.openxmlformats.org/spreadsheetml/2006/main">
  <sheetPr>
    <tabColor rgb="007F7F7F"/>
    <outlinePr applyStyles="1" summaryBelow="0" summaryRight="1"/>
    <pageSetUpPr/>
  </sheetPr>
  <dimension ref="A1:L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4" customHeight="1">
      <c r="A1" s="1" t="inlineStr">
        <is>
          <t>DIM_Date</t>
        </is>
      </c>
    </row>
    <row r="2" ht="16" customHeight="1">
      <c r="A2" s="15" t="inlineStr">
        <is>
          <t>PASSRESS MIS   |   Home ▸ DIM_Date</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'Date'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passress-mis/power-query/star-schema/DIM_Date.pq — see passress-mis/dax/README.md for setup order.</t>
        </is>
      </c>
    </row>
    <row r="9" hidden="1" outlineLevel="1"/>
    <row r="10" ht="6" customHeight="1"/>
    <row r="11" ht="18" customHeight="1">
      <c r="B11" s="39" t="inlineStr">
        <is>
          <t>DateKey</t>
        </is>
      </c>
      <c r="C11" s="39" t="inlineStr">
        <is>
          <t>Date</t>
        </is>
      </c>
      <c r="D11" s="39" t="inlineStr">
        <is>
          <t>Year</t>
        </is>
      </c>
      <c r="E11" s="39" t="inlineStr">
        <is>
          <t>FiscalYear</t>
        </is>
      </c>
      <c r="F11" s="39" t="inlineStr">
        <is>
          <t>Quarter</t>
        </is>
      </c>
      <c r="G11" s="39" t="inlineStr">
        <is>
          <t>Month</t>
        </is>
      </c>
      <c r="H11" s="39" t="inlineStr">
        <is>
          <t>MonthName</t>
        </is>
      </c>
      <c r="I11" s="39" t="inlineStr">
        <is>
          <t>Week</t>
        </is>
      </c>
      <c r="J11" s="39" t="inlineStr">
        <is>
          <t>Day</t>
        </is>
      </c>
      <c r="K11" s="39" t="inlineStr">
        <is>
          <t>DayName</t>
        </is>
      </c>
      <c r="L11" s="39" t="inlineStr">
        <is>
          <t>IsWeekend</t>
        </is>
      </c>
    </row>
    <row r="12">
      <c r="B12" s="27" t="n"/>
      <c r="C12" s="27" t="n"/>
      <c r="D12" s="27" t="n"/>
      <c r="E12" s="27" t="n"/>
      <c r="F12" s="27" t="n"/>
      <c r="G12" s="27" t="n"/>
      <c r="H12" s="27" t="n"/>
      <c r="I12" s="27" t="n"/>
      <c r="J12" s="27" t="n"/>
      <c r="K12" s="27" t="n"/>
      <c r="L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L4"/>
    <mergeCell ref="A2:L2"/>
    <mergeCell ref="B6:L6"/>
    <mergeCell ref="B7:L7"/>
    <mergeCell ref="A1:L1"/>
    <mergeCell ref="B5:L5"/>
    <mergeCell ref="A3:L3"/>
    <mergeCell ref="B8:L8"/>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7.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t>
        </is>
      </c>
    </row>
    <row r="2" ht="16" customHeight="1">
      <c r="A2" s="15" t="inlineStr">
        <is>
          <t>PASSRESS MIS   |   Home ▸ DIM_Product</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'Product'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passress-mis/power-query/star-schema/DIM_Product.pq — see passress-mis/dax/README.md for setup order.</t>
        </is>
      </c>
    </row>
    <row r="9" hidden="1" outlineLevel="1"/>
    <row r="10" ht="6" customHeight="1"/>
    <row r="11" ht="18" customHeight="1">
      <c r="B11" s="39" t="inlineStr">
        <is>
          <t>ProductKey</t>
        </is>
      </c>
      <c r="C11" s="39" t="inlineStr">
        <is>
          <t>ProductID</t>
        </is>
      </c>
      <c r="D11" s="39" t="inlineStr">
        <is>
          <t>SKU</t>
        </is>
      </c>
      <c r="E11" s="39" t="inlineStr">
        <is>
          <t>Title</t>
        </is>
      </c>
      <c r="F11" s="39" t="inlineStr">
        <is>
          <t>ProductType</t>
        </is>
      </c>
      <c r="G11" s="39" t="inlineStr">
        <is>
          <t>Vendor</t>
        </is>
      </c>
      <c r="H11" s="39" t="inlineStr">
        <is>
          <t>Collection</t>
        </is>
      </c>
      <c r="I11" s="39" t="inlineStr">
        <is>
          <t>UnitCost</t>
        </is>
      </c>
      <c r="J11" s="39" t="inlineStr">
        <is>
          <t>Status</t>
        </is>
      </c>
    </row>
    <row r="12">
      <c r="B12" s="27" t="n"/>
      <c r="C12" s="27" t="n"/>
      <c r="D12" s="27" t="n"/>
      <c r="E12" s="27" t="n"/>
      <c r="F12" s="27" t="n"/>
      <c r="G12" s="27" t="n"/>
      <c r="H12" s="27" t="n"/>
      <c r="I12" s="27" t="n"/>
      <c r="J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8.xml><?xml version="1.0" encoding="utf-8"?>
<worksheet xmlns="http://schemas.openxmlformats.org/spreadsheetml/2006/main">
  <sheetPr>
    <tabColor rgb="007F7F7F"/>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DIM_Customer</t>
        </is>
      </c>
    </row>
    <row r="2" ht="16" customHeight="1">
      <c r="A2" s="15" t="inlineStr">
        <is>
          <t>PASSRESS MIS   |   Home ▸ DIM_Customer</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'Customer'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passress-mis/power-query/star-schema/DIM_Customer.pq — see passress-mis/dax/README.md for setup order.</t>
        </is>
      </c>
    </row>
    <row r="9" hidden="1" outlineLevel="1"/>
    <row r="10" ht="6" customHeight="1"/>
    <row r="11" ht="18" customHeight="1">
      <c r="B11" s="39" t="inlineStr">
        <is>
          <t>CustomerKey</t>
        </is>
      </c>
      <c r="C11" s="39" t="inlineStr">
        <is>
          <t>CustomerID</t>
        </is>
      </c>
      <c r="D11" s="39" t="inlineStr">
        <is>
          <t>Name</t>
        </is>
      </c>
      <c r="E11" s="39" t="inlineStr">
        <is>
          <t>Email</t>
        </is>
      </c>
      <c r="F11" s="39" t="inlineStr">
        <is>
          <t>Country</t>
        </is>
      </c>
      <c r="G11" s="39" t="inlineStr">
        <is>
          <t>FirstOrderDate</t>
        </is>
      </c>
      <c r="H11" s="39" t="inlineStr">
        <is>
          <t>CustomerSegment</t>
        </is>
      </c>
    </row>
    <row r="12">
      <c r="B12" s="27" t="n"/>
      <c r="C12" s="27" t="n"/>
      <c r="D12" s="27" t="n"/>
      <c r="E12" s="27" t="n"/>
      <c r="F12" s="27" t="n"/>
      <c r="G12" s="27" t="n"/>
      <c r="H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29.xml><?xml version="1.0" encoding="utf-8"?>
<worksheet xmlns="http://schemas.openxmlformats.org/spreadsheetml/2006/main">
  <sheetPr>
    <tabColor rgb="007F7F7F"/>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DIM_Location</t>
        </is>
      </c>
    </row>
    <row r="2" ht="16" customHeight="1">
      <c r="A2" s="15" t="inlineStr">
        <is>
          <t>PASSRESS MIS   |   Home ▸ DIM_Location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'Location'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passress-mis/power-query/star-schema/DIM_Location.pq — see passress-mis/dax/README.md for setup order.</t>
        </is>
      </c>
    </row>
    <row r="9" hidden="1" outlineLevel="1"/>
    <row r="10" ht="6" customHeight="1"/>
    <row r="11" ht="18" customHeight="1">
      <c r="B11" s="39" t="inlineStr">
        <is>
          <t>LocationKey</t>
        </is>
      </c>
      <c r="C11" s="39" t="inlineStr">
        <is>
          <t>LocationID</t>
        </is>
      </c>
      <c r="D11" s="39" t="inlineStr">
        <is>
          <t>LocationName</t>
        </is>
      </c>
      <c r="E11" s="39" t="inlineStr">
        <is>
          <t>City</t>
        </is>
      </c>
      <c r="F11" s="39" t="inlineStr">
        <is>
          <t>Country</t>
        </is>
      </c>
    </row>
    <row r="12">
      <c r="B12" s="27" t="n"/>
      <c r="C12" s="27" t="n"/>
      <c r="D12" s="27" t="n"/>
      <c r="E12" s="27" t="n"/>
      <c r="F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0.xml><?xml version="1.0" encoding="utf-8"?>
<worksheet xmlns="http://schemas.openxmlformats.org/spreadsheetml/2006/main">
  <sheetPr>
    <tabColor rgb="007F7F7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DIM_Collection</t>
        </is>
      </c>
    </row>
    <row r="2" ht="16" customHeight="1">
      <c r="A2" s="15" t="inlineStr">
        <is>
          <t>PASSRESS MIS   |   Home ▸ DIM_Collection</t>
        </is>
      </c>
    </row>
    <row r="3" ht="14" customHeight="1">
      <c r="A3" s="3" t="inlineStr">
        <is>
          <t>Sheet Documentation  (use the  +  outline control at left to expand)</t>
        </is>
      </c>
    </row>
    <row r="4" hidden="1" outlineLevel="1" ht="13" customHeight="1">
      <c r="A4" s="4" t="inlineStr">
        <is>
          <t>Purpose</t>
        </is>
      </c>
      <c r="B4" s="5" t="inlineStr">
        <is>
          <t>Dimension table for the star schema — describes the 'Collection' entity that FACT_ tables relate to.</t>
        </is>
      </c>
    </row>
    <row r="5" hidden="1" outlineLevel="1" ht="13" customHeight="1">
      <c r="A5" s="4" t="inlineStr">
        <is>
          <t>Input tables</t>
        </is>
      </c>
      <c r="B5" s="5" t="inlineStr">
        <is>
          <t>RAW_ staging table(s) built in Phase 2.</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One-to-many into the relevant FACT_ table(s) on this dimension's key column — see dax/README.md for the full relationship list.</t>
        </is>
      </c>
    </row>
    <row r="8" hidden="1" outlineLevel="1" ht="13" customHeight="1">
      <c r="A8" s="4" t="inlineStr">
        <is>
          <t>Future data source</t>
        </is>
      </c>
      <c r="B8" s="5" t="inlineStr">
        <is>
          <t>Live now: paste passress-mis/power-query/star-schema/DIM_Collection.pq — see passress-mis/dax/README.md for setup order.</t>
        </is>
      </c>
    </row>
    <row r="9" hidden="1" outlineLevel="1"/>
    <row r="10" ht="6" customHeight="1"/>
    <row r="11" ht="18" customHeight="1">
      <c r="B11" s="39" t="inlineStr">
        <is>
          <t>CollectionKey</t>
        </is>
      </c>
      <c r="C11" s="39" t="inlineStr">
        <is>
          <t>CollectionID</t>
        </is>
      </c>
      <c r="D11" s="39" t="inlineStr">
        <is>
          <t>Title</t>
        </is>
      </c>
      <c r="E11" s="39" t="inlineStr">
        <is>
          <t>Handle</t>
        </is>
      </c>
    </row>
    <row r="12">
      <c r="B12" s="27" t="n"/>
      <c r="C12" s="27" t="n"/>
      <c r="D12" s="27" t="n"/>
      <c r="E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1.xml><?xml version="1.0" encoding="utf-8"?>
<worksheet xmlns="http://schemas.openxmlformats.org/spreadsheetml/2006/main">
  <sheetPr>
    <tabColor rgb="007F7F7F"/>
    <outlinePr applyStyles="1" summaryBelow="0" summaryRight="1"/>
    <pageSetUpPr/>
  </sheetPr>
  <dimension ref="A1:C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s>
  <sheetData>
    <row r="1" ht="34" customHeight="1">
      <c r="A1" s="1" t="inlineStr">
        <is>
          <t>DIM_Parameters</t>
        </is>
      </c>
    </row>
    <row r="2" ht="16" customHeight="1">
      <c r="A2" s="15" t="inlineStr">
        <is>
          <t>PASSRESS MIS   |   Home ▸ DIM_Parameters</t>
        </is>
      </c>
    </row>
    <row r="3" ht="14" customHeight="1">
      <c r="A3" s="3" t="inlineStr">
        <is>
          <t>Sheet Documentation  (use the  +  outline control at left to expand)</t>
        </is>
      </c>
    </row>
    <row r="4" hidden="1" outlineLevel="1" ht="13" customHeight="1">
      <c r="A4" s="4" t="inlineStr">
        <is>
          <t>Purpose</t>
        </is>
      </c>
      <c r="B4" s="5" t="inlineStr">
        <is>
          <t>Disconnected mirror of 15_Settings, used so DAX measures can reference configurable constants without creating a relationship into the star schema.</t>
        </is>
      </c>
    </row>
    <row r="5" hidden="1" outlineLevel="1" ht="13" customHeight="1">
      <c r="A5" s="4" t="inlineStr">
        <is>
          <t>Input tables</t>
        </is>
      </c>
      <c r="B5" s="5" t="inlineStr">
        <is>
          <t>15_Settings (linked manually / via Power Query, Phase 2).</t>
        </is>
      </c>
    </row>
    <row r="6" hidden="1" outlineLevel="1" ht="13" customHeight="1">
      <c r="A6" s="4" t="inlineStr">
        <is>
          <t>Output tables</t>
        </is>
      </c>
      <c r="B6" s="5" t="inlineStr">
        <is>
          <t>Referenced by DAX measures across all dashboards.</t>
        </is>
      </c>
    </row>
    <row r="7" hidden="1" outlineLevel="1" ht="13" customHeight="1">
      <c r="A7" s="4" t="inlineStr">
        <is>
          <t>Relationships</t>
        </is>
      </c>
      <c r="B7" s="5" t="inlineStr">
        <is>
          <t>N/A — disconnected table by design.</t>
        </is>
      </c>
    </row>
    <row r="8" hidden="1" outlineLevel="1" ht="13" customHeight="1">
      <c r="A8" s="4" t="inlineStr">
        <is>
          <t>Future data source</t>
        </is>
      </c>
      <c r="B8" s="5" t="inlineStr">
        <is>
          <t>Manual link to 15_Settings — Phase 3.</t>
        </is>
      </c>
    </row>
    <row r="9" hidden="1" outlineLevel="1"/>
    <row r="10" ht="6" customHeight="1"/>
    <row r="11" ht="18" customHeight="1">
      <c r="B11" s="39" t="inlineStr">
        <is>
          <t>ParameterName</t>
        </is>
      </c>
      <c r="C11" s="39" t="inlineStr">
        <is>
          <t>ParameterValue</t>
        </is>
      </c>
    </row>
    <row r="12">
      <c r="B12" s="27" t="n"/>
      <c r="C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6:C6"/>
    <mergeCell ref="B7:C7"/>
    <mergeCell ref="A1:C1"/>
    <mergeCell ref="B5:C5"/>
    <mergeCell ref="A3:C3"/>
    <mergeCell ref="B8:C8"/>
    <mergeCell ref="B4:C4"/>
    <mergeCell ref="A2:C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2.xml><?xml version="1.0" encoding="utf-8"?>
<worksheet xmlns="http://schemas.openxmlformats.org/spreadsheetml/2006/main">
  <sheetPr>
    <tabColor rgb="007F7F7F"/>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DIM_Supplier</t>
        </is>
      </c>
    </row>
    <row r="2" ht="16" customHeight="1">
      <c r="A2" s="15" t="inlineStr">
        <is>
          <t>PASSRESS MIS   |   Home ▸ DIM_Supplier</t>
        </is>
      </c>
    </row>
    <row r="3" ht="14" customHeight="1">
      <c r="A3" s="3" t="inlineStr">
        <is>
          <t>Sheet Documentation  (use the  +  outline control at left to expand)</t>
        </is>
      </c>
    </row>
    <row r="4" hidden="1" outlineLevel="1" ht="13" customHeight="1">
      <c r="A4" s="4" t="inlineStr">
        <is>
          <t>Purpose</t>
        </is>
      </c>
      <c r="B4" s="5" t="inlineStr">
        <is>
          <t>Data Model-ready mirror of 12_Suppliers (Supplier Master table).</t>
        </is>
      </c>
    </row>
    <row r="5" hidden="1" outlineLevel="1" ht="13" customHeight="1">
      <c r="A5" s="4" t="inlineStr">
        <is>
          <t>Input tables</t>
        </is>
      </c>
      <c r="B5" s="5" t="inlineStr">
        <is>
          <t>12_Suppliers's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SupplierID relates to FACT_ManualExpenses/FACT_PurchaseOrderHeader; PrimarySupplierID on DIM_Product relates back here (one-to-many).</t>
        </is>
      </c>
    </row>
    <row r="8" hidden="1" outlineLevel="1" ht="13" customHeight="1">
      <c r="A8" s="4" t="inlineStr">
        <is>
          <t>Future data source</t>
        </is>
      </c>
      <c r="B8" s="5" t="inlineStr">
        <is>
          <t>Live now: paste passress-mis/power-query/star-schema/DIM_Supplier.pq — see passress-mis/dax/README.md for setup order.</t>
        </is>
      </c>
    </row>
    <row r="9" hidden="1" outlineLevel="1"/>
    <row r="10" ht="6" customHeight="1"/>
    <row r="11" ht="18" customHeight="1">
      <c r="B11" s="39" t="inlineStr">
        <is>
          <t>SupplierKey</t>
        </is>
      </c>
      <c r="C11" s="39" t="inlineStr">
        <is>
          <t>SupplierID</t>
        </is>
      </c>
      <c r="D11" s="39" t="inlineStr">
        <is>
          <t>SupplierName</t>
        </is>
      </c>
      <c r="E11" s="39" t="inlineStr">
        <is>
          <t>SupplierType</t>
        </is>
      </c>
      <c r="F11" s="39" t="inlineStr">
        <is>
          <t>Currency</t>
        </is>
      </c>
      <c r="G11" s="39" t="inlineStr">
        <is>
          <t>Status</t>
        </is>
      </c>
    </row>
    <row r="12">
      <c r="B12" s="27" t="n"/>
      <c r="C12" s="27" t="n"/>
      <c r="D12" s="27" t="n"/>
      <c r="E12" s="27" t="n"/>
      <c r="F12" s="27" t="n"/>
      <c r="G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3.xml><?xml version="1.0" encoding="utf-8"?>
<worksheet xmlns="http://schemas.openxmlformats.org/spreadsheetml/2006/main">
  <sheetPr>
    <tabColor rgb="007F7F7F"/>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DIM_ProductCostHistory</t>
        </is>
      </c>
    </row>
    <row r="2" ht="16" customHeight="1">
      <c r="A2" s="15" t="inlineStr">
        <is>
          <t>PASSRESS MIS   |   Home ▸ DIM_ProductCostHistory</t>
        </is>
      </c>
    </row>
    <row r="3" ht="14" customHeight="1">
      <c r="A3" s="3" t="inlineStr">
        <is>
          <t>Sheet Documentation  (use the  +  outline control at left to expand)</t>
        </is>
      </c>
    </row>
    <row r="4" hidden="1" outlineLevel="1" ht="13" customHeight="1">
      <c r="A4" s="4" t="inlineStr">
        <is>
          <t>Purpose</t>
        </is>
      </c>
      <c r="B4" s="5" t="inlineStr">
        <is>
          <t>Data Model-ready mirror of 05_Products (Product Cost Master table), time-variant (Effective From/To + Active Flag preserved) so Phase 4 can join each order line to the cost that was active on the order's date.</t>
        </is>
      </c>
    </row>
    <row r="5" hidden="1" outlineLevel="1" ht="13" customHeight="1">
      <c r="A5" s="4" t="inlineStr">
        <is>
          <t>Input tables</t>
        </is>
      </c>
      <c r="B5" s="5" t="inlineStr">
        <is>
          <t>05_Products's master-data table.</t>
        </is>
      </c>
    </row>
    <row r="6" hidden="1" outlineLevel="1" ht="13" customHeight="1">
      <c r="A6" s="4" t="inlineStr">
        <is>
          <t>Output tables</t>
        </is>
      </c>
      <c r="B6" s="5" t="inlineStr">
        <is>
          <t>Related to FACT_ tables in the Data Model (one-to-many).</t>
        </is>
      </c>
    </row>
    <row r="7" hidden="1" outlineLevel="1" ht="13" customHeight="1">
      <c r="A7" s="4" t="inlineStr">
        <is>
          <t>Relationships</t>
        </is>
      </c>
      <c r="B7" s="5" t="inlineStr">
        <is>
          <t>SKU relates to FACT_OrderLines; EffectiveFromDate/EffectiveToDate bound which cost row applies to a given order date via fn_GetEffectiveCost (Power Query), not a Data Model relationship — see dax/README.md.</t>
        </is>
      </c>
    </row>
    <row r="8" hidden="1" outlineLevel="1" ht="13" customHeight="1">
      <c r="A8" s="4" t="inlineStr">
        <is>
          <t>Future data source</t>
        </is>
      </c>
      <c r="B8" s="5" t="inlineStr">
        <is>
          <t>Live now: paste passress-mis/power-query/star-schema/DIM_ProductCostHistory.pq — see passress-mis/dax/README.md for setup order.</t>
        </is>
      </c>
    </row>
    <row r="9" hidden="1" outlineLevel="1"/>
    <row r="10" ht="6" customHeight="1"/>
    <row r="11" ht="18" customHeight="1">
      <c r="B11" s="39" t="inlineStr">
        <is>
          <t>CostKey</t>
        </is>
      </c>
      <c r="C11" s="39" t="inlineStr">
        <is>
          <t>SKU</t>
        </is>
      </c>
      <c r="D11" s="39" t="inlineStr">
        <is>
          <t>Collection</t>
        </is>
      </c>
      <c r="E11" s="39" t="inlineStr">
        <is>
          <t>TotalLandedCost</t>
        </is>
      </c>
      <c r="F11" s="39" t="inlineStr">
        <is>
          <t>SellingPrice</t>
        </is>
      </c>
      <c r="G11" s="39" t="inlineStr">
        <is>
          <t>ExpectedGrossMarginPct</t>
        </is>
      </c>
      <c r="H11" s="39" t="inlineStr">
        <is>
          <t>EffectiveFromDate</t>
        </is>
      </c>
      <c r="I11" s="39" t="inlineStr">
        <is>
          <t>EffectiveToDate</t>
        </is>
      </c>
      <c r="J11" s="39" t="inlineStr">
        <is>
          <t>ActiveFlag</t>
        </is>
      </c>
    </row>
    <row r="12">
      <c r="B12" s="27" t="n"/>
      <c r="C12" s="27" t="n"/>
      <c r="D12" s="27" t="n"/>
      <c r="E12" s="27" t="n"/>
      <c r="F12" s="27" t="n"/>
      <c r="G12" s="27" t="n"/>
      <c r="H12" s="27" t="n"/>
      <c r="I12" s="27" t="n"/>
      <c r="J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4.xml><?xml version="1.0" encoding="utf-8"?>
<worksheet xmlns="http://schemas.openxmlformats.org/spreadsheetml/2006/main">
  <sheetPr>
    <tabColor rgb="00595959"/>
    <outlinePr applyStyles="1" summaryBelow="0" summaryRight="1"/>
    <pageSetUpPr/>
  </sheetPr>
  <dimension ref="A1:P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ht="34" customHeight="1">
      <c r="A1" s="1" t="inlineStr">
        <is>
          <t>FACT_OrderLines</t>
        </is>
      </c>
    </row>
    <row r="2" ht="16" customHeight="1">
      <c r="A2" s="15" t="inlineStr">
        <is>
          <t>PASSRESS MIS   |   Home ▸ FACT_OrderLines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passress-mis/power-query/star-schema/FACT_OrderLines.pq — see passress-mis/dax/README.md for setup order.</t>
        </is>
      </c>
    </row>
    <row r="9" hidden="1" outlineLevel="1"/>
    <row r="10" ht="6" customHeight="1"/>
    <row r="11" ht="18" customHeight="1">
      <c r="B11" s="39" t="inlineStr">
        <is>
          <t>OrderLineKey</t>
        </is>
      </c>
      <c r="C11" s="39" t="inlineStr">
        <is>
          <t>OrderID</t>
        </is>
      </c>
      <c r="D11" s="39" t="inlineStr">
        <is>
          <t>DateKey</t>
        </is>
      </c>
      <c r="E11" s="39" t="inlineStr">
        <is>
          <t>ProductKey</t>
        </is>
      </c>
      <c r="F11" s="39" t="inlineStr">
        <is>
          <t>CustomerKey</t>
        </is>
      </c>
      <c r="G11" s="39" t="inlineStr">
        <is>
          <t>LocationKey</t>
        </is>
      </c>
      <c r="H11" s="39" t="inlineStr">
        <is>
          <t>Quantity</t>
        </is>
      </c>
      <c r="I11" s="39" t="inlineStr">
        <is>
          <t>UnitPrice</t>
        </is>
      </c>
      <c r="J11" s="39" t="inlineStr">
        <is>
          <t>GrossAmount</t>
        </is>
      </c>
      <c r="K11" s="39" t="inlineStr">
        <is>
          <t>DiscountAmount</t>
        </is>
      </c>
      <c r="L11" s="39" t="inlineStr">
        <is>
          <t>TaxAmount</t>
        </is>
      </c>
      <c r="M11" s="39" t="inlineStr">
        <is>
          <t>NetAmount</t>
        </is>
      </c>
      <c r="N11" s="39" t="inlineStr">
        <is>
          <t>UnitCost</t>
        </is>
      </c>
      <c r="O11" s="39" t="inlineStr">
        <is>
          <t>COGS</t>
        </is>
      </c>
      <c r="P11" s="39" t="inlineStr">
        <is>
          <t>MissingCostFlag</t>
        </is>
      </c>
    </row>
    <row r="12">
      <c r="B12" s="27" t="n"/>
      <c r="C12" s="27" t="n"/>
      <c r="D12" s="27" t="n"/>
      <c r="E12" s="27" t="n"/>
      <c r="F12" s="27" t="n"/>
      <c r="G12" s="27" t="n"/>
      <c r="H12" s="27" t="n"/>
      <c r="I12" s="27" t="n"/>
      <c r="J12" s="27" t="n"/>
      <c r="K12" s="27" t="n"/>
      <c r="L12" s="27" t="n"/>
      <c r="M12" s="27" t="n"/>
      <c r="N12" s="27" t="n"/>
      <c r="O12" s="27" t="n"/>
      <c r="P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P7"/>
    <mergeCell ref="B6:P6"/>
    <mergeCell ref="A1:P1"/>
    <mergeCell ref="B5:P5"/>
    <mergeCell ref="B8:P8"/>
    <mergeCell ref="A3:P3"/>
    <mergeCell ref="B4:P4"/>
    <mergeCell ref="A2:P2"/>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5.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FACT_Refunds</t>
        </is>
      </c>
    </row>
    <row r="2" ht="16" customHeight="1">
      <c r="A2" s="15" t="inlineStr">
        <is>
          <t>PASSRESS MIS   |   Home ▸ FACT_Refunds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passress-mis/power-query/star-schema/FACT_Refunds.pq — see passress-mis/dax/README.md for setup order.</t>
        </is>
      </c>
    </row>
    <row r="9" hidden="1" outlineLevel="1"/>
    <row r="10" ht="6" customHeight="1"/>
    <row r="11" ht="18" customHeight="1">
      <c r="B11" s="39" t="inlineStr">
        <is>
          <t>RefundKey</t>
        </is>
      </c>
      <c r="C11" s="39" t="inlineStr">
        <is>
          <t>OrderLineKey</t>
        </is>
      </c>
      <c r="D11" s="39" t="inlineStr">
        <is>
          <t>DateKey</t>
        </is>
      </c>
      <c r="E11" s="39" t="inlineStr">
        <is>
          <t>Quantity</t>
        </is>
      </c>
      <c r="F11" s="39" t="inlineStr">
        <is>
          <t>RefundAmount</t>
        </is>
      </c>
    </row>
    <row r="12">
      <c r="B12" s="27" t="n"/>
      <c r="C12" s="27" t="n"/>
      <c r="D12" s="27" t="n"/>
      <c r="E12" s="27" t="n"/>
      <c r="F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6.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FACT_InventoryMovements</t>
        </is>
      </c>
    </row>
    <row r="2" ht="16" customHeight="1">
      <c r="A2" s="15" t="inlineStr">
        <is>
          <t>PASSRESS MIS   |   Home ▸ FACT_InventoryMovements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passress-mis/power-query/star-schema/FACT_InventoryMovements.pq — see passress-mis/dax/README.md for setup order.</t>
        </is>
      </c>
    </row>
    <row r="9" hidden="1" outlineLevel="1"/>
    <row r="10" ht="6" customHeight="1"/>
    <row r="11" ht="18" customHeight="1">
      <c r="B11" s="39" t="inlineStr">
        <is>
          <t>MovementKey</t>
        </is>
      </c>
      <c r="C11" s="39" t="inlineStr">
        <is>
          <t>DateKey</t>
        </is>
      </c>
      <c r="D11" s="39" t="inlineStr">
        <is>
          <t>ProductKey</t>
        </is>
      </c>
      <c r="E11" s="39" t="inlineStr">
        <is>
          <t>LocationKey</t>
        </is>
      </c>
      <c r="F11" s="39" t="inlineStr">
        <is>
          <t>MovementType</t>
        </is>
      </c>
      <c r="G11" s="39" t="inlineStr">
        <is>
          <t>QuantityChange</t>
        </is>
      </c>
      <c r="H11" s="39" t="inlineStr">
        <is>
          <t>ResultingOnHand</t>
        </is>
      </c>
    </row>
    <row r="12">
      <c r="B12" s="27" t="n"/>
      <c r="C12" s="27" t="n"/>
      <c r="D12" s="27" t="n"/>
      <c r="E12" s="27" t="n"/>
      <c r="F12" s="27" t="n"/>
      <c r="G12" s="27" t="n"/>
      <c r="H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7.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FACT_Payments</t>
        </is>
      </c>
    </row>
    <row r="2" ht="16" customHeight="1">
      <c r="A2" s="15" t="inlineStr">
        <is>
          <t>PASSRESS MIS   |   Home ▸ FACT_Payments</t>
        </is>
      </c>
    </row>
    <row r="3" ht="14" customHeight="1">
      <c r="A3" s="3" t="inlineStr">
        <is>
          <t>Sheet Documentation  (use the  +  outline control at left to expand)</t>
        </is>
      </c>
    </row>
    <row r="4" hidden="1" outlineLevel="1" ht="13" customHeight="1">
      <c r="A4" s="4" t="inlineStr">
        <is>
          <t>Purpose</t>
        </is>
      </c>
      <c r="B4" s="5" t="inlineStr">
        <is>
          <t>Fact table for the star schema — transaction-level grain, built from RAW_ staging data plus dimension keys via Power Query (not re-fetched from Shopify).</t>
        </is>
      </c>
    </row>
    <row r="5" hidden="1" outlineLevel="1" ht="13" customHeight="1">
      <c r="A5" s="4" t="inlineStr">
        <is>
          <t>Input tables</t>
        </is>
      </c>
      <c r="B5" s="5" t="inlineStr">
        <is>
          <t>RAW_ staging tables + DIM_ key lookups.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Many-to-one into each related DIM_ table — see dax/README.md for the full relationship list.</t>
        </is>
      </c>
    </row>
    <row r="8" hidden="1" outlineLevel="1" ht="13" customHeight="1">
      <c r="A8" s="4" t="inlineStr">
        <is>
          <t>Future data source</t>
        </is>
      </c>
      <c r="B8" s="5" t="inlineStr">
        <is>
          <t>Live now: paste passress-mis/power-query/star-schema/FACT_Payments.pq — see passress-mis/dax/README.md for setup order.</t>
        </is>
      </c>
    </row>
    <row r="9" hidden="1" outlineLevel="1"/>
    <row r="10" ht="6" customHeight="1"/>
    <row r="11" ht="18" customHeight="1">
      <c r="B11" s="39" t="inlineStr">
        <is>
          <t>PaymentKey</t>
        </is>
      </c>
      <c r="C11" s="39" t="inlineStr">
        <is>
          <t>OrderID</t>
        </is>
      </c>
      <c r="D11" s="39" t="inlineStr">
        <is>
          <t>DateKey</t>
        </is>
      </c>
      <c r="E11" s="39" t="inlineStr">
        <is>
          <t>PaymentMethod</t>
        </is>
      </c>
      <c r="F11" s="39" t="inlineStr">
        <is>
          <t>Currency</t>
        </is>
      </c>
      <c r="G11" s="39" t="inlineStr">
        <is>
          <t>Amount</t>
        </is>
      </c>
      <c r="H11" s="39" t="inlineStr">
        <is>
          <t>PresentmentAmount</t>
        </is>
      </c>
    </row>
    <row r="12">
      <c r="B12" s="27" t="n"/>
      <c r="C12" s="27" t="n"/>
      <c r="D12" s="27" t="n"/>
      <c r="E12" s="27" t="n"/>
      <c r="F12" s="27" t="n"/>
      <c r="G12" s="27" t="n"/>
      <c r="H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8.xml><?xml version="1.0" encoding="utf-8"?>
<worksheet xmlns="http://schemas.openxmlformats.org/spreadsheetml/2006/main">
  <sheetPr>
    <tabColor rgb="00595959"/>
    <outlinePr applyStyles="1" summaryBelow="0" summaryRight="1"/>
    <pageSetUpPr/>
  </sheetPr>
  <dimension ref="A1:N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ht="34" customHeight="1">
      <c r="A1" s="1" t="inlineStr">
        <is>
          <t>FACT_ManualExpenses</t>
        </is>
      </c>
    </row>
    <row r="2" ht="16" customHeight="1">
      <c r="A2" s="15" t="inlineStr">
        <is>
          <t>PASSRESS MIS   |   Home ▸ FACT_ManualExpenses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10_Expenses — this is the Data Model-ready version of it.</t>
        </is>
      </c>
    </row>
    <row r="5" hidden="1" outlineLevel="1" ht="13" customHeight="1">
      <c r="A5" s="4" t="inlineStr">
        <is>
          <t>Input tables</t>
        </is>
      </c>
      <c r="B5" s="5" t="inlineStr">
        <is>
          <t>10_Expenses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passress-mis/power-query/star-schema/FACT_ManualExpenses.pq — see passress-mis/dax/README.md for setup order.</t>
        </is>
      </c>
    </row>
    <row r="9" hidden="1" outlineLevel="1"/>
    <row r="10" ht="6" customHeight="1"/>
    <row r="11" ht="18" customHeight="1">
      <c r="B11" s="33" t="inlineStr">
        <is>
          <t>ExpenseKey</t>
        </is>
      </c>
      <c r="C11" s="33" t="inlineStr">
        <is>
          <t>DateKey</t>
        </is>
      </c>
      <c r="D11" s="33" t="inlineStr">
        <is>
          <t>ExpenseDate</t>
        </is>
      </c>
      <c r="E11" s="33" t="inlineStr">
        <is>
          <t>ExpenseCategory</t>
        </is>
      </c>
      <c r="F11" s="33" t="inlineStr">
        <is>
          <t>ExpenseSubcategory</t>
        </is>
      </c>
      <c r="G11" s="33" t="inlineStr">
        <is>
          <t>SupplierID</t>
        </is>
      </c>
      <c r="H11" s="33" t="inlineStr">
        <is>
          <t>Amount</t>
        </is>
      </c>
      <c r="I11" s="33" t="inlineStr">
        <is>
          <t>Currency</t>
        </is>
      </c>
      <c r="J11" s="33" t="inlineStr">
        <is>
          <t>PaymentMethod</t>
        </is>
      </c>
      <c r="K11" s="33" t="inlineStr">
        <is>
          <t>RelatedCollection</t>
        </is>
      </c>
      <c r="L11" s="33" t="inlineStr">
        <is>
          <t>RelatedSKU</t>
        </is>
      </c>
      <c r="M11" s="33" t="inlineStr">
        <is>
          <t>CostCenter</t>
        </is>
      </c>
      <c r="N11" s="33" t="inlineStr">
        <is>
          <t>InvoiceNumber</t>
        </is>
      </c>
    </row>
    <row r="12">
      <c r="B12" s="44" t="n"/>
      <c r="C12" s="44" t="n"/>
      <c r="D12" s="44" t="n"/>
      <c r="E12" s="44" t="n"/>
      <c r="F12" s="44" t="n"/>
      <c r="G12" s="44" t="n"/>
      <c r="H12" s="44" t="n"/>
      <c r="I12" s="44" t="n"/>
      <c r="J12" s="44" t="n"/>
      <c r="K12" s="44" t="n"/>
      <c r="L12" s="44" t="n"/>
      <c r="M12" s="44" t="n"/>
      <c r="N12" s="44"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5:N5"/>
    <mergeCell ref="A3:N3"/>
    <mergeCell ref="B8:N8"/>
    <mergeCell ref="B4:N4"/>
    <mergeCell ref="A2:N2"/>
    <mergeCell ref="B7:N7"/>
    <mergeCell ref="B6:N6"/>
    <mergeCell ref="A1:N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39.xml><?xml version="1.0" encoding="utf-8"?>
<worksheet xmlns="http://schemas.openxmlformats.org/spreadsheetml/2006/main">
  <sheetPr>
    <tabColor rgb="00595959"/>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FACT_CapitalTransactions</t>
        </is>
      </c>
    </row>
    <row r="2" ht="16" customHeight="1">
      <c r="A2" s="15" t="inlineStr">
        <is>
          <t>PASSRESS MIS   |   Home ▸ FACT_CapitalTransactions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11_Capital — this is the Data Model-ready version of it.</t>
        </is>
      </c>
    </row>
    <row r="5" hidden="1" outlineLevel="1" ht="13" customHeight="1">
      <c r="A5" s="4" t="inlineStr">
        <is>
          <t>Input tables</t>
        </is>
      </c>
      <c r="B5" s="5" t="inlineStr">
        <is>
          <t>11_Capital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passress-mis/power-query/star-schema/FACT_CapitalTransactions.pq — see passress-mis/dax/README.md for setup order.</t>
        </is>
      </c>
    </row>
    <row r="9" hidden="1" outlineLevel="1"/>
    <row r="10" ht="6" customHeight="1"/>
    <row r="11" ht="18" customHeight="1">
      <c r="B11" s="33" t="inlineStr">
        <is>
          <t>CapitalKey</t>
        </is>
      </c>
      <c r="C11" s="33" t="inlineStr">
        <is>
          <t>DateKey</t>
        </is>
      </c>
      <c r="D11" s="33" t="inlineStr">
        <is>
          <t>Date</t>
        </is>
      </c>
      <c r="E11" s="33" t="inlineStr">
        <is>
          <t>Owner</t>
        </is>
      </c>
      <c r="F11" s="33" t="inlineStr">
        <is>
          <t>TransactionType</t>
        </is>
      </c>
      <c r="G11" s="33" t="inlineStr">
        <is>
          <t>Amount</t>
        </is>
      </c>
    </row>
    <row r="12">
      <c r="B12" s="44" t="n"/>
      <c r="C12" s="44" t="n"/>
      <c r="D12" s="44" t="n"/>
      <c r="E12" s="44" t="n"/>
      <c r="F12" s="44" t="n"/>
      <c r="G12" s="44"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0.xml><?xml version="1.0" encoding="utf-8"?>
<worksheet xmlns="http://schemas.openxmlformats.org/spreadsheetml/2006/main">
  <sheetPr>
    <tabColor rgb="00595959"/>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FACT_PurchaseOrderHeader</t>
        </is>
      </c>
    </row>
    <row r="2" ht="16" customHeight="1">
      <c r="A2" s="15" t="inlineStr">
        <is>
          <t>PASSRESS MIS   |   Home ▸ FACT_PurchaseOrderHeader</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Header table) — this is the Data Model-ready version of it.</t>
        </is>
      </c>
    </row>
    <row r="5" hidden="1" outlineLevel="1" ht="13" customHeight="1">
      <c r="A5" s="4" t="inlineStr">
        <is>
          <t>Input tables</t>
        </is>
      </c>
      <c r="B5" s="5" t="inlineStr">
        <is>
          <t>12_Suppliers (PO Header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passress-mis/power-query/star-schema/FACT_PurchaseOrderHeader.pq — see passress-mis/dax/README.md for setup order.</t>
        </is>
      </c>
    </row>
    <row r="9" hidden="1" outlineLevel="1"/>
    <row r="10" ht="6" customHeight="1"/>
    <row r="11" ht="18" customHeight="1">
      <c r="B11" s="33" t="inlineStr">
        <is>
          <t>PONumber</t>
        </is>
      </c>
      <c r="C11" s="33" t="inlineStr">
        <is>
          <t>DateKey</t>
        </is>
      </c>
      <c r="D11" s="33" t="inlineStr">
        <is>
          <t>SupplierID</t>
        </is>
      </c>
      <c r="E11" s="33" t="inlineStr">
        <is>
          <t>OrderDate</t>
        </is>
      </c>
      <c r="F11" s="33" t="inlineStr">
        <is>
          <t>ExpectedDeliveryDate</t>
        </is>
      </c>
      <c r="G11" s="33" t="inlineStr">
        <is>
          <t>Status</t>
        </is>
      </c>
      <c r="H11" s="33" t="inlineStr">
        <is>
          <t>Currency</t>
        </is>
      </c>
    </row>
    <row r="12">
      <c r="B12" s="44" t="n"/>
      <c r="C12" s="44" t="n"/>
      <c r="D12" s="44" t="n"/>
      <c r="E12" s="44" t="n"/>
      <c r="F12" s="44" t="n"/>
      <c r="G12" s="44" t="n"/>
      <c r="H12" s="44"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1.xml><?xml version="1.0" encoding="utf-8"?>
<worksheet xmlns="http://schemas.openxmlformats.org/spreadsheetml/2006/main">
  <sheetPr>
    <tabColor rgb="00595959"/>
    <outlinePr applyStyles="1" summaryBelow="0" summaryRight="1"/>
    <pageSetUpPr/>
  </sheetPr>
  <dimension ref="A1:F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FACT_PurchaseOrderLines</t>
        </is>
      </c>
    </row>
    <row r="2" ht="16" customHeight="1">
      <c r="A2" s="15" t="inlineStr">
        <is>
          <t>PASSRESS MIS   |   Home ▸ FACT_PurchaseOrderLines</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(PO Lines table) — this is the Data Model-ready version of it.</t>
        </is>
      </c>
    </row>
    <row r="5" hidden="1" outlineLevel="1" ht="13" customHeight="1">
      <c r="A5" s="4" t="inlineStr">
        <is>
          <t>Input tables</t>
        </is>
      </c>
      <c r="B5" s="5" t="inlineStr">
        <is>
          <t>12_Suppliers (PO Lines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passress-mis/power-query/star-schema/FACT_PurchaseOrderLines.pq — see passress-mis/dax/README.md for setup order.</t>
        </is>
      </c>
    </row>
    <row r="9" hidden="1" outlineLevel="1"/>
    <row r="10" ht="6" customHeight="1"/>
    <row r="11" ht="18" customHeight="1">
      <c r="B11" s="33" t="inlineStr">
        <is>
          <t>PONumber</t>
        </is>
      </c>
      <c r="C11" s="33" t="inlineStr">
        <is>
          <t>SKU</t>
        </is>
      </c>
      <c r="D11" s="33" t="inlineStr">
        <is>
          <t>QuantityOrdered</t>
        </is>
      </c>
      <c r="E11" s="33" t="inlineStr">
        <is>
          <t>UnitCost</t>
        </is>
      </c>
      <c r="F11" s="33" t="inlineStr">
        <is>
          <t>TotalCost</t>
        </is>
      </c>
    </row>
    <row r="12">
      <c r="B12" s="44" t="n"/>
      <c r="C12" s="44" t="n"/>
      <c r="D12" s="44" t="n"/>
      <c r="E12" s="44" t="n"/>
      <c r="F12" s="44"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2.xml><?xml version="1.0" encoding="utf-8"?>
<worksheet xmlns="http://schemas.openxmlformats.org/spreadsheetml/2006/main">
  <sheetPr>
    <tabColor rgb="00595959"/>
    <outlinePr applyStyles="1" summaryBelow="0" summaryRight="1"/>
    <pageSetUpPr/>
  </sheetPr>
  <dimension ref="A1:J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FACT_GoodsReceipt</t>
        </is>
      </c>
    </row>
    <row r="2" ht="16" customHeight="1">
      <c r="A2" s="15" t="inlineStr">
        <is>
          <t>PASSRESS MIS   |   Home ▸ FACT_GoodsReceipt</t>
        </is>
      </c>
    </row>
    <row r="3" ht="14" customHeight="1">
      <c r="A3" s="3" t="inlineStr">
        <is>
          <t>Sheet Documentation  (use the  +  outline control at left to expand)</t>
        </is>
      </c>
    </row>
    <row r="4" hidden="1" outlineLevel="1" ht="13" customHeight="1">
      <c r="A4" s="4" t="inlineStr">
        <is>
          <t>Purpose</t>
        </is>
      </c>
      <c r="B4" s="5" t="inlineStr">
        <is>
          <t>Manually entered fact, kept structurally separate from Shopify-sourced facts. Mirrors the input table(s) on 12_Suppliers (Goods Receipt table) — this is the Data Model-ready version of it.</t>
        </is>
      </c>
    </row>
    <row r="5" hidden="1" outlineLevel="1" ht="13" customHeight="1">
      <c r="A5" s="4" t="inlineStr">
        <is>
          <t>Input tables</t>
        </is>
      </c>
      <c r="B5" s="5" t="inlineStr">
        <is>
          <t>12_Suppliers (Goods Receipt table) manual entry table(s).</t>
        </is>
      </c>
    </row>
    <row r="6" hidden="1" outlineLevel="1" ht="13" customHeight="1">
      <c r="A6" s="4" t="inlineStr">
        <is>
          <t>Output tables</t>
        </is>
      </c>
      <c r="B6" s="5" t="inlineStr">
        <is>
          <t>Referenced by DAX measures — see passress-mis/dax/MEASURES.md.</t>
        </is>
      </c>
    </row>
    <row r="7" hidden="1" outlineLevel="1" ht="13" customHeight="1">
      <c r="A7" s="4" t="inlineStr">
        <is>
          <t>Relationships</t>
        </is>
      </c>
      <c r="B7" s="5" t="inlineStr">
        <is>
          <t>Grain matches its source table on the visible sheet, one-for-one.</t>
        </is>
      </c>
    </row>
    <row r="8" hidden="1" outlineLevel="1" ht="13" customHeight="1">
      <c r="A8" s="4" t="inlineStr">
        <is>
          <t>Future data source</t>
        </is>
      </c>
      <c r="B8" s="5" t="inlineStr">
        <is>
          <t>Live now: paste passress-mis/power-query/star-schema/FACT_GoodsReceipt.pq — see passress-mis/dax/README.md for setup order.</t>
        </is>
      </c>
    </row>
    <row r="9" hidden="1" outlineLevel="1"/>
    <row r="10" ht="6" customHeight="1"/>
    <row r="11" ht="18" customHeight="1">
      <c r="B11" s="33" t="inlineStr">
        <is>
          <t>PONumber</t>
        </is>
      </c>
      <c r="C11" s="33" t="inlineStr">
        <is>
          <t>DateKey</t>
        </is>
      </c>
      <c r="D11" s="33" t="inlineStr">
        <is>
          <t>SKU</t>
        </is>
      </c>
      <c r="E11" s="33" t="inlineStr">
        <is>
          <t>GoodsReceivedDate</t>
        </is>
      </c>
      <c r="F11" s="33" t="inlineStr">
        <is>
          <t>QuantityReceived</t>
        </is>
      </c>
      <c r="G11" s="33" t="inlineStr">
        <is>
          <t>RemainingQuantity</t>
        </is>
      </c>
      <c r="H11" s="33" t="inlineStr">
        <is>
          <t>ActualUnitCost</t>
        </is>
      </c>
      <c r="I11" s="33" t="inlineStr">
        <is>
          <t>VarianceFromPO</t>
        </is>
      </c>
      <c r="J11" s="33" t="inlineStr">
        <is>
          <t>Warehouse</t>
        </is>
      </c>
    </row>
    <row r="12">
      <c r="B12" s="44" t="n"/>
      <c r="C12" s="44" t="n"/>
      <c r="D12" s="44" t="n"/>
      <c r="E12" s="44" t="n"/>
      <c r="F12" s="44" t="n"/>
      <c r="G12" s="44" t="n"/>
      <c r="H12" s="44" t="n"/>
      <c r="I12" s="44" t="n"/>
      <c r="J12" s="44"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7:J7"/>
    <mergeCell ref="A1:J1"/>
    <mergeCell ref="B5:J5"/>
    <mergeCell ref="A3:J3"/>
    <mergeCell ref="B8:J8"/>
    <mergeCell ref="B4:J4"/>
    <mergeCell ref="A2:J2"/>
    <mergeCell ref="B6:J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3.xml><?xml version="1.0" encoding="utf-8"?>
<worksheet xmlns="http://schemas.openxmlformats.org/spreadsheetml/2006/main">
  <sheetPr>
    <tabColor rgb="00C55A11"/>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LOG_RefreshHistory</t>
        </is>
      </c>
    </row>
    <row r="2" ht="16" customHeight="1">
      <c r="A2" s="15" t="inlineStr">
        <is>
          <t>PASSRESS MIS   |   Home ▸ LOG_RefreshHistory</t>
        </is>
      </c>
    </row>
    <row r="3" ht="14" customHeight="1">
      <c r="A3" s="3" t="inlineStr">
        <is>
          <t>Sheet Documentation  (use the  +  outline control at left to expand)</t>
        </is>
      </c>
    </row>
    <row r="4" hidden="1" outlineLevel="1" ht="13" customHeight="1">
      <c r="A4" s="4" t="inlineStr">
        <is>
          <t>Purpose</t>
        </is>
      </c>
      <c r="B4" s="5" t="inlineStr">
        <is>
          <t>Append-only log of every workbook refresh: what ran, how many rows moved, and how long it took.</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39" t="inlineStr">
        <is>
          <t>RefreshID</t>
        </is>
      </c>
      <c r="C11" s="39" t="inlineStr">
        <is>
          <t>Timestamp</t>
        </is>
      </c>
      <c r="D11" s="39" t="inlineStr">
        <is>
          <t>Source</t>
        </is>
      </c>
      <c r="E11" s="39" t="inlineStr">
        <is>
          <t>RowsLoaded</t>
        </is>
      </c>
      <c r="F11" s="39" t="inlineStr">
        <is>
          <t>RowsUpdated</t>
        </is>
      </c>
      <c r="G11" s="39" t="inlineStr">
        <is>
          <t>Errors</t>
        </is>
      </c>
      <c r="H11" s="39" t="inlineStr">
        <is>
          <t>DurationSeconds</t>
        </is>
      </c>
      <c r="I11" s="39" t="inlineStr">
        <is>
          <t>TriggeredBy</t>
        </is>
      </c>
    </row>
    <row r="12">
      <c r="B12" s="27" t="n"/>
      <c r="C12" s="27" t="n"/>
      <c r="D12" s="27" t="n"/>
      <c r="E12" s="27" t="n"/>
      <c r="F12" s="27" t="n"/>
      <c r="G12" s="27" t="n"/>
      <c r="H12" s="27" t="n"/>
      <c r="I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4.xml><?xml version="1.0" encoding="utf-8"?>
<worksheet xmlns="http://schemas.openxmlformats.org/spreadsheetml/2006/main">
  <sheetPr>
    <tabColor rgb="00C55A11"/>
    <outlinePr applyStyles="1" summaryBelow="0" summaryRight="1"/>
    <pageSetUpPr/>
  </sheetPr>
  <dimension ref="A1:G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4" customHeight="1">
      <c r="A1" s="1" t="inlineStr">
        <is>
          <t>LOG_DataQuality</t>
        </is>
      </c>
    </row>
    <row r="2" ht="16" customHeight="1">
      <c r="A2" s="15" t="inlineStr">
        <is>
          <t>PASSRESS MIS   |   Home ▸ LOG_DataQuality</t>
        </is>
      </c>
    </row>
    <row r="3" ht="14" customHeight="1">
      <c r="A3" s="3" t="inlineStr">
        <is>
          <t>Sheet Documentation  (use the  +  outline control at left to expand)</t>
        </is>
      </c>
    </row>
    <row r="4" hidden="1" outlineLevel="1" ht="13" customHeight="1">
      <c r="A4" s="4" t="inlineStr">
        <is>
          <t>Purpose</t>
        </is>
      </c>
      <c r="B4" s="5" t="inlineStr">
        <is>
          <t>Append-only log of validation-rule results, one row per check per refresh.</t>
        </is>
      </c>
    </row>
    <row r="5" hidden="1" outlineLevel="1" ht="13" customHeight="1">
      <c r="A5" s="4" t="inlineStr">
        <is>
          <t>Input tables</t>
        </is>
      </c>
      <c r="B5" s="5" t="inlineStr">
        <is>
          <t>Written by the Power Query refresh process (Phase 2).</t>
        </is>
      </c>
    </row>
    <row r="6" hidden="1" outlineLevel="1" ht="13" customHeight="1">
      <c r="A6" s="4" t="inlineStr">
        <is>
          <t>Output tables</t>
        </is>
      </c>
      <c r="B6" s="5" t="inlineStr">
        <is>
          <t>Displayed on 14_Data_Quality and summarized on 01_Home.</t>
        </is>
      </c>
    </row>
    <row r="7" hidden="1" outlineLevel="1" ht="13" customHeight="1">
      <c r="A7" s="4" t="inlineStr">
        <is>
          <t>Relationships</t>
        </is>
      </c>
      <c r="B7" s="5" t="inlineStr">
        <is>
          <t>No Data Model relationship — a flat audit trail, queried directly by 14_Data_Quality.</t>
        </is>
      </c>
    </row>
    <row r="8" hidden="1" outlineLevel="1" ht="13" customHeight="1">
      <c r="A8" s="4" t="inlineStr">
        <is>
          <t>Future data source</t>
        </is>
      </c>
      <c r="B8" s="5" t="inlineStr">
        <is>
          <t>Populated automatically on every Refresh All — Phase 2.</t>
        </is>
      </c>
    </row>
    <row r="9" hidden="1" outlineLevel="1"/>
    <row r="10" ht="6" customHeight="1"/>
    <row r="11" ht="18" customHeight="1">
      <c r="B11" s="39" t="inlineStr">
        <is>
          <t>CheckID</t>
        </is>
      </c>
      <c r="C11" s="39" t="inlineStr">
        <is>
          <t>Timestamp</t>
        </is>
      </c>
      <c r="D11" s="39" t="inlineStr">
        <is>
          <t>CheckName</t>
        </is>
      </c>
      <c r="E11" s="39" t="inlineStr">
        <is>
          <t>TableName</t>
        </is>
      </c>
      <c r="F11" s="39" t="inlineStr">
        <is>
          <t>Status</t>
        </is>
      </c>
      <c r="G11" s="39" t="inlineStr">
        <is>
          <t>Details</t>
        </is>
      </c>
    </row>
    <row r="12">
      <c r="B12" s="27" t="n"/>
      <c r="C12" s="27" t="n"/>
      <c r="D12" s="27" t="n"/>
      <c r="E12" s="27" t="n"/>
      <c r="F12" s="27" t="n"/>
      <c r="G12" s="27"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1:G1"/>
    <mergeCell ref="B5:G5"/>
    <mergeCell ref="A3:G3"/>
    <mergeCell ref="B8:G8"/>
    <mergeCell ref="B4:G4"/>
    <mergeCell ref="A2:G2"/>
    <mergeCell ref="B7:G7"/>
    <mergeCell ref="B6:G6"/>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5.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RAW_MetaAds</t>
        </is>
      </c>
    </row>
    <row r="2" ht="16" customHeight="1">
      <c r="A2" s="15" t="inlineStr">
        <is>
          <t>PASSRESS MIS   |   Home ▸ RAW_MetaAds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Meta Ads (Facebook/Instagram) API ingestion. No API calls, no credentials, no scheduled refresh exist for this yet.</t>
        </is>
      </c>
    </row>
    <row r="5" hidden="1" outlineLevel="1" ht="13" customHeight="1">
      <c r="A5" s="4" t="inlineStr">
        <is>
          <t>Input tables</t>
        </is>
      </c>
      <c r="B5" s="5" t="inlineStr">
        <is>
          <t>None yet. Future: Meta Ads (Facebook/Instagram)'s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Meta Ads (Facebook/Instagram) API — a future phase (6+), following the exact Power Query pattern power-query/README.md established for Shopify (auth via Extension.CurrentCredential, paginated fetch, incremental refresh).</t>
        </is>
      </c>
    </row>
    <row r="9" hidden="1" outlineLevel="1"/>
    <row r="10" ht="6" customHeight="1"/>
    <row r="11" ht="18" customHeight="1">
      <c r="B11" s="45" t="inlineStr">
        <is>
          <t>DateKey</t>
        </is>
      </c>
      <c r="C11" s="45" t="inlineStr">
        <is>
          <t>CampaignID</t>
        </is>
      </c>
      <c r="D11" s="45" t="inlineStr">
        <is>
          <t>CampaignName</t>
        </is>
      </c>
      <c r="E11" s="45" t="inlineStr">
        <is>
          <t>Spend</t>
        </is>
      </c>
      <c r="F11" s="45" t="inlineStr">
        <is>
          <t>Impressions</t>
        </is>
      </c>
      <c r="G11" s="45" t="inlineStr">
        <is>
          <t>Clicks</t>
        </is>
      </c>
      <c r="H11" s="45" t="inlineStr">
        <is>
          <t>Conversions</t>
        </is>
      </c>
      <c r="I11" s="45" t="inlineStr">
        <is>
          <t>Currency</t>
        </is>
      </c>
    </row>
    <row r="12">
      <c r="B12" s="46" t="n"/>
      <c r="C12" s="46" t="n"/>
      <c r="D12" s="46" t="n"/>
      <c r="E12" s="46" t="n"/>
      <c r="F12" s="46" t="n"/>
      <c r="G12" s="46" t="n"/>
      <c r="H12" s="46" t="n"/>
      <c r="I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6.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RAW_GoogleAnalytics</t>
        </is>
      </c>
    </row>
    <row r="2" ht="16" customHeight="1">
      <c r="A2" s="15" t="inlineStr">
        <is>
          <t>PASSRESS MIS   |   Home ▸ RAW_GoogleAnalytics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Analytics API ingestion. No API calls, no credentials, no scheduled refresh exist for this yet.</t>
        </is>
      </c>
    </row>
    <row r="5" hidden="1" outlineLevel="1" ht="13" customHeight="1">
      <c r="A5" s="4" t="inlineStr">
        <is>
          <t>Input tables</t>
        </is>
      </c>
      <c r="B5" s="5" t="inlineStr">
        <is>
          <t>None yet. Future: Google Analytics's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Analytics API — a future phase (6+), following the exact Power Query pattern power-query/README.md established for Shopify (auth via Extension.CurrentCredential, paginated fetch, incremental refresh).</t>
        </is>
      </c>
    </row>
    <row r="9" hidden="1" outlineLevel="1"/>
    <row r="10" ht="6" customHeight="1"/>
    <row r="11" ht="18" customHeight="1">
      <c r="B11" s="45" t="inlineStr">
        <is>
          <t>DateKey</t>
        </is>
      </c>
      <c r="C11" s="45" t="inlineStr">
        <is>
          <t>CampaignID</t>
        </is>
      </c>
      <c r="D11" s="45" t="inlineStr">
        <is>
          <t>CampaignName</t>
        </is>
      </c>
      <c r="E11" s="45" t="inlineStr">
        <is>
          <t>Spend</t>
        </is>
      </c>
      <c r="F11" s="45" t="inlineStr">
        <is>
          <t>Impressions</t>
        </is>
      </c>
      <c r="G11" s="45" t="inlineStr">
        <is>
          <t>Clicks</t>
        </is>
      </c>
      <c r="H11" s="45" t="inlineStr">
        <is>
          <t>Conversions</t>
        </is>
      </c>
      <c r="I11" s="45" t="inlineStr">
        <is>
          <t>Currency</t>
        </is>
      </c>
    </row>
    <row r="12">
      <c r="B12" s="46" t="n"/>
      <c r="C12" s="46" t="n"/>
      <c r="D12" s="46" t="n"/>
      <c r="E12" s="46" t="n"/>
      <c r="F12" s="46" t="n"/>
      <c r="G12" s="46" t="n"/>
      <c r="H12" s="46" t="n"/>
      <c r="I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7.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RAW_GoogleAds</t>
        </is>
      </c>
    </row>
    <row r="2" ht="16" customHeight="1">
      <c r="A2" s="15" t="inlineStr">
        <is>
          <t>PASSRESS MIS   |   Home ▸ RAW_GoogleAds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Google Ads API ingestion. No API calls, no credentials, no scheduled refresh exist for this yet.</t>
        </is>
      </c>
    </row>
    <row r="5" hidden="1" outlineLevel="1" ht="13" customHeight="1">
      <c r="A5" s="4" t="inlineStr">
        <is>
          <t>Input tables</t>
        </is>
      </c>
      <c r="B5" s="5" t="inlineStr">
        <is>
          <t>None yet. Future: Google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Google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45" t="inlineStr">
        <is>
          <t>DateKey</t>
        </is>
      </c>
      <c r="C11" s="45" t="inlineStr">
        <is>
          <t>CampaignID</t>
        </is>
      </c>
      <c r="D11" s="45" t="inlineStr">
        <is>
          <t>CampaignName</t>
        </is>
      </c>
      <c r="E11" s="45" t="inlineStr">
        <is>
          <t>Spend</t>
        </is>
      </c>
      <c r="F11" s="45" t="inlineStr">
        <is>
          <t>Impressions</t>
        </is>
      </c>
      <c r="G11" s="45" t="inlineStr">
        <is>
          <t>Clicks</t>
        </is>
      </c>
      <c r="H11" s="45" t="inlineStr">
        <is>
          <t>Conversions</t>
        </is>
      </c>
      <c r="I11" s="45" t="inlineStr">
        <is>
          <t>Currency</t>
        </is>
      </c>
    </row>
    <row r="12">
      <c r="B12" s="46" t="n"/>
      <c r="C12" s="46" t="n"/>
      <c r="D12" s="46" t="n"/>
      <c r="E12" s="46" t="n"/>
      <c r="F12" s="46" t="n"/>
      <c r="G12" s="46" t="n"/>
      <c r="H12" s="46" t="n"/>
      <c r="I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8.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RAW_TikTokAds</t>
        </is>
      </c>
    </row>
    <row r="2" ht="16" customHeight="1">
      <c r="A2" s="15" t="inlineStr">
        <is>
          <t>PASSRESS MIS   |   Home ▸ RAW_TikTokAds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TikTok Ads API ingestion. No API calls, no credentials, no scheduled refresh exist for this yet.</t>
        </is>
      </c>
    </row>
    <row r="5" hidden="1" outlineLevel="1" ht="13" customHeight="1">
      <c r="A5" s="4" t="inlineStr">
        <is>
          <t>Input tables</t>
        </is>
      </c>
      <c r="B5" s="5" t="inlineStr">
        <is>
          <t>None yet. Future: TikTok Ads's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TikTok Ads API — a future phase (6+), following the exact Power Query pattern power-query/README.md established for Shopify (auth via Extension.CurrentCredential, paginated fetch, incremental refresh).</t>
        </is>
      </c>
    </row>
    <row r="9" hidden="1" outlineLevel="1"/>
    <row r="10" ht="6" customHeight="1"/>
    <row r="11" ht="18" customHeight="1">
      <c r="B11" s="45" t="inlineStr">
        <is>
          <t>DateKey</t>
        </is>
      </c>
      <c r="C11" s="45" t="inlineStr">
        <is>
          <t>CampaignID</t>
        </is>
      </c>
      <c r="D11" s="45" t="inlineStr">
        <is>
          <t>CampaignName</t>
        </is>
      </c>
      <c r="E11" s="45" t="inlineStr">
        <is>
          <t>Spend</t>
        </is>
      </c>
      <c r="F11" s="45" t="inlineStr">
        <is>
          <t>Impressions</t>
        </is>
      </c>
      <c r="G11" s="45" t="inlineStr">
        <is>
          <t>Clicks</t>
        </is>
      </c>
      <c r="H11" s="45" t="inlineStr">
        <is>
          <t>Conversions</t>
        </is>
      </c>
      <c r="I11" s="45" t="inlineStr">
        <is>
          <t>Currency</t>
        </is>
      </c>
    </row>
    <row r="12">
      <c r="B12" s="46" t="n"/>
      <c r="C12" s="46" t="n"/>
      <c r="D12" s="46" t="n"/>
      <c r="E12" s="46" t="n"/>
      <c r="F12" s="46" t="n"/>
      <c r="G12" s="46" t="n"/>
      <c r="H12" s="46" t="n"/>
      <c r="I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49.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RAW_EmailMarketing</t>
        </is>
      </c>
    </row>
    <row r="2" ht="16" customHeight="1">
      <c r="A2" s="15" t="inlineStr">
        <is>
          <t>PASSRESS MIS   |   Home ▸ RAW_EmailMarketing</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Email Marketing (e.g. Klaviyo/Mailchimp) API ingestion. No API calls, no credentials, no scheduled refresh exist for this yet.</t>
        </is>
      </c>
    </row>
    <row r="5" hidden="1" outlineLevel="1" ht="13" customHeight="1">
      <c r="A5" s="4" t="inlineStr">
        <is>
          <t>Input tables</t>
        </is>
      </c>
      <c r="B5" s="5" t="inlineStr">
        <is>
          <t>None yet. Future: Email Marketing (e.g. Klaviyo/Mailchimp)'s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Email Marketing (e.g. Klaviyo/Mailchimp) API — a future phase (6+), following the exact Power Query pattern power-query/README.md established for Shopify (auth via Extension.CurrentCredential, paginated fetch, incremental refresh).</t>
        </is>
      </c>
    </row>
    <row r="9" hidden="1" outlineLevel="1"/>
    <row r="10" ht="6" customHeight="1"/>
    <row r="11" ht="18" customHeight="1">
      <c r="B11" s="45" t="inlineStr">
        <is>
          <t>DateKey</t>
        </is>
      </c>
      <c r="C11" s="45" t="inlineStr">
        <is>
          <t>CampaignID</t>
        </is>
      </c>
      <c r="D11" s="45" t="inlineStr">
        <is>
          <t>CampaignName</t>
        </is>
      </c>
      <c r="E11" s="45" t="inlineStr">
        <is>
          <t>Spend</t>
        </is>
      </c>
      <c r="F11" s="45" t="inlineStr">
        <is>
          <t>Impressions</t>
        </is>
      </c>
      <c r="G11" s="45" t="inlineStr">
        <is>
          <t>Clicks</t>
        </is>
      </c>
      <c r="H11" s="45" t="inlineStr">
        <is>
          <t>Conversions</t>
        </is>
      </c>
      <c r="I11" s="45" t="inlineStr">
        <is>
          <t>Currency</t>
        </is>
      </c>
    </row>
    <row r="12">
      <c r="B12" s="46" t="n"/>
      <c r="C12" s="46" t="n"/>
      <c r="D12" s="46" t="n"/>
      <c r="E12" s="46" t="n"/>
      <c r="F12" s="46" t="n"/>
      <c r="G12" s="46" t="n"/>
      <c r="H12" s="46" t="n"/>
      <c r="I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0.xml><?xml version="1.0" encoding="utf-8"?>
<worksheet xmlns="http://schemas.openxmlformats.org/spreadsheetml/2006/main">
  <sheetPr>
    <tabColor rgb="008064A2"/>
    <outlinePr applyStyles="1" summaryBelow="0" summaryRight="1"/>
    <pageSetUpPr/>
  </sheetPr>
  <dimension ref="A1:I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ht="34" customHeight="1">
      <c r="A1" s="1" t="inlineStr">
        <is>
          <t>RAW_InfluencerCampaigns</t>
        </is>
      </c>
    </row>
    <row r="2" ht="16" customHeight="1">
      <c r="A2" s="15" t="inlineStr">
        <is>
          <t>PASSRESS MIS   |   Home ▸ RAW_InfluencerCampaigns</t>
        </is>
      </c>
    </row>
    <row r="3" ht="14" customHeight="1">
      <c r="A3" s="3" t="inlineStr">
        <is>
          <t>Sheet Documentation  (use the  +  outline control at left to expand)</t>
        </is>
      </c>
    </row>
    <row r="4" hidden="1" outlineLevel="1" ht="13" customHeight="1">
      <c r="A4" s="4" t="inlineStr">
        <is>
          <t>Purpose</t>
        </is>
      </c>
      <c r="B4" s="5" t="inlineStr">
        <is>
          <t>RESERVED, NOT CONNECTED — placeholder for future Influencer Campaigns API ingestion. No API calls, no credentials, no scheduled refresh exist for this yet.</t>
        </is>
      </c>
    </row>
    <row r="5" hidden="1" outlineLevel="1" ht="13" customHeight="1">
      <c r="A5" s="4" t="inlineStr">
        <is>
          <t>Input tables</t>
        </is>
      </c>
      <c r="B5" s="5" t="inlineStr">
        <is>
          <t>None yet. Future: Influencer Campaigns's own API/export.</t>
        </is>
      </c>
    </row>
    <row r="6" hidden="1" outlineLevel="1" ht="13" customHeight="1">
      <c r="A6" s="4" t="inlineStr">
        <is>
          <t>Output tables</t>
        </is>
      </c>
      <c r="B6" s="5" t="inlineStr">
        <is>
          <t>Will feed FACT_MarketingSpend once connected.</t>
        </is>
      </c>
    </row>
    <row r="7" hidden="1" outlineLevel="1" ht="13" customHeight="1">
      <c r="A7" s="4" t="inlineStr">
        <is>
          <t>Relationships</t>
        </is>
      </c>
      <c r="B7" s="5" t="inlineStr">
        <is>
          <t>DateKey -&gt; DIM_Date; Campaign -&gt; a future DIM_Campaign (not yet built — see FACT_MarketingSpend's notes).</t>
        </is>
      </c>
    </row>
    <row r="8" hidden="1" outlineLevel="1" ht="13" customHeight="1">
      <c r="A8" s="4" t="inlineStr">
        <is>
          <t>Future data source</t>
        </is>
      </c>
      <c r="B8" s="5" t="inlineStr">
        <is>
          <t>Influencer Campaigns API — a future phase (6+), following the exact Power Query pattern power-query/README.md established for Shopify (auth via Extension.CurrentCredential, paginated fetch, incremental refresh).</t>
        </is>
      </c>
    </row>
    <row r="9" hidden="1" outlineLevel="1"/>
    <row r="10" ht="6" customHeight="1"/>
    <row r="11" ht="18" customHeight="1">
      <c r="B11" s="45" t="inlineStr">
        <is>
          <t>DateKey</t>
        </is>
      </c>
      <c r="C11" s="45" t="inlineStr">
        <is>
          <t>CampaignID</t>
        </is>
      </c>
      <c r="D11" s="45" t="inlineStr">
        <is>
          <t>CampaignName</t>
        </is>
      </c>
      <c r="E11" s="45" t="inlineStr">
        <is>
          <t>Spend</t>
        </is>
      </c>
      <c r="F11" s="45" t="inlineStr">
        <is>
          <t>Impressions</t>
        </is>
      </c>
      <c r="G11" s="45" t="inlineStr">
        <is>
          <t>Clicks</t>
        </is>
      </c>
      <c r="H11" s="45" t="inlineStr">
        <is>
          <t>Conversions</t>
        </is>
      </c>
      <c r="I11" s="45" t="inlineStr">
        <is>
          <t>Currency</t>
        </is>
      </c>
    </row>
    <row r="12">
      <c r="B12" s="46" t="n"/>
      <c r="C12" s="46" t="n"/>
      <c r="D12" s="46" t="n"/>
      <c r="E12" s="46" t="n"/>
      <c r="F12" s="46" t="n"/>
      <c r="G12" s="46" t="n"/>
      <c r="H12" s="46" t="n"/>
      <c r="I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A2:I2"/>
    <mergeCell ref="B7:I7"/>
    <mergeCell ref="B6:I6"/>
    <mergeCell ref="A1:I1"/>
    <mergeCell ref="B5:I5"/>
    <mergeCell ref="A3:I3"/>
    <mergeCell ref="B8:I8"/>
    <mergeCell ref="B4:I4"/>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1.xml><?xml version="1.0" encoding="utf-8"?>
<worksheet xmlns="http://schemas.openxmlformats.org/spreadsheetml/2006/main">
  <sheetPr>
    <tabColor rgb="008064A2"/>
    <outlinePr applyStyles="1" summaryBelow="0" summaryRight="1"/>
    <pageSetUpPr/>
  </sheetPr>
  <dimension ref="A1:H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4" customHeight="1">
      <c r="A1" s="1" t="inlineStr">
        <is>
          <t>FACT_MarketingSpend</t>
        </is>
      </c>
    </row>
    <row r="2" ht="16" customHeight="1">
      <c r="A2" s="15" t="inlineStr">
        <is>
          <t>PASSRESS MIS   |   Home ▸ FACT_MarketingSpend</t>
        </is>
      </c>
    </row>
    <row r="3" ht="14" customHeight="1">
      <c r="A3" s="3" t="inlineStr">
        <is>
          <t>Sheet Documentation  (use the  +  outline control at left to expand)</t>
        </is>
      </c>
    </row>
    <row r="4" hidden="1" outlineLevel="1" ht="13" customHeight="1">
      <c r="A4" s="4" t="inlineStr">
        <is>
          <t>Purpose</t>
        </is>
      </c>
      <c r="B4" s="5" t="inlineStr">
        <is>
          <t>RESERVED, NOT CONNECTED — the unified cross-channel spend fact every RAW_&lt;Channel&gt;Ads table above would roll into, so DAX (CAC, ROAS) can query one table instead of six. Channel-specific fields (e.g. TikTok's video view counts) stay on each RAW_ table; only the common shape (spend, date, campaign, conversions) is unified here.</t>
        </is>
      </c>
    </row>
    <row r="5" hidden="1" outlineLevel="1" ht="13" customHeight="1">
      <c r="A5" s="4" t="inlineStr">
        <is>
          <t>Input tables</t>
        </is>
      </c>
      <c r="B5" s="5" t="inlineStr">
        <is>
          <t>Will be built from every RAW_MetaAds/RAW_GoogleAds/RAW_TikTokAds/etc. table above, once connected.</t>
        </is>
      </c>
    </row>
    <row r="6" hidden="1" outlineLevel="1" ht="13" customHeight="1">
      <c r="A6" s="4" t="inlineStr">
        <is>
          <t>Output tables</t>
        </is>
      </c>
      <c r="B6" s="5" t="inlineStr">
        <is>
          <t>dax/MEASURES.md's [CAC] and [ROAS] (currently unbuildable — see KPI Targets' notes on those two rows) will read from here.</t>
        </is>
      </c>
    </row>
    <row r="7" hidden="1" outlineLevel="1" ht="13" customHeight="1">
      <c r="A7" s="4" t="inlineStr">
        <is>
          <t>Relationships</t>
        </is>
      </c>
      <c r="B7" s="5" t="inlineStr">
        <is>
          <t>DateKey -&gt; DIM_Date; ChannelName is a plain attribute (not worth its own dimension at this scale); CampaignID -&gt; a future DIM_Campaign.</t>
        </is>
      </c>
    </row>
    <row r="8" hidden="1" outlineLevel="1" ht="13" customHeight="1">
      <c r="A8" s="4" t="inlineStr">
        <is>
          <t>Future data source</t>
        </is>
      </c>
      <c r="B8" s="5" t="inlineStr">
        <is>
          <t>Union of the RAW_&lt;Channel&gt;Ads tables above, in Power Query — a future phase (6+).</t>
        </is>
      </c>
    </row>
    <row r="9" hidden="1" outlineLevel="1"/>
    <row r="10" ht="6" customHeight="1"/>
    <row r="11" ht="18" customHeight="1">
      <c r="B11" s="45" t="inlineStr">
        <is>
          <t>DateKey</t>
        </is>
      </c>
      <c r="C11" s="45" t="inlineStr">
        <is>
          <t>ChannelName</t>
        </is>
      </c>
      <c r="D11" s="45" t="inlineStr">
        <is>
          <t>CampaignID</t>
        </is>
      </c>
      <c r="E11" s="45" t="inlineStr">
        <is>
          <t>CampaignName</t>
        </is>
      </c>
      <c r="F11" s="45" t="inlineStr">
        <is>
          <t>Spend</t>
        </is>
      </c>
      <c r="G11" s="45" t="inlineStr">
        <is>
          <t>Conversions</t>
        </is>
      </c>
      <c r="H11" s="45" t="inlineStr">
        <is>
          <t>Currency</t>
        </is>
      </c>
    </row>
    <row r="12">
      <c r="B12" s="46" t="n"/>
      <c r="C12" s="46" t="n"/>
      <c r="D12" s="46" t="n"/>
      <c r="E12" s="46" t="n"/>
      <c r="F12" s="46" t="n"/>
      <c r="G12" s="46" t="n"/>
      <c r="H12" s="46" t="n"/>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H8"/>
    <mergeCell ref="A3:H3"/>
    <mergeCell ref="B4:H4"/>
    <mergeCell ref="A2:H2"/>
    <mergeCell ref="B6:H6"/>
    <mergeCell ref="B7:H7"/>
    <mergeCell ref="A1:H1"/>
    <mergeCell ref="B5:H5"/>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2.xml><?xml version="1.0" encoding="utf-8"?>
<worksheet xmlns="http://schemas.openxmlformats.org/spreadsheetml/2006/main">
  <sheetPr>
    <tabColor rgb="00BFBFBF"/>
    <outlinePr applyStyles="1" summaryBelow="0" summaryRight="1"/>
    <pageSetUpPr/>
  </sheetPr>
  <dimension ref="A1:E1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FUTURE_AI_Insights</t>
        </is>
      </c>
    </row>
    <row r="2" ht="16" customHeight="1">
      <c r="A2" s="15" t="inlineStr">
        <is>
          <t>PASSRESS MIS   |   Home ▸ FUTURE_AI_Insights</t>
        </is>
      </c>
    </row>
    <row r="3" ht="14" customHeight="1">
      <c r="A3" s="3" t="inlineStr">
        <is>
          <t>Sheet Documentation  (use the  +  outline control at left to expand)</t>
        </is>
      </c>
    </row>
    <row r="4" hidden="1" outlineLevel="1" ht="13" customHeight="1">
      <c r="A4" s="4" t="inlineStr">
        <is>
          <t>Purpose</t>
        </is>
      </c>
      <c r="B4" s="5" t="inlineStr">
        <is>
          <t>RESERVED, NOT IMPLEMENTED — placeholder inventory of AI-generated features a future phase could add (Executive Summary, Daily/Weekly/Monthly Summary, Recommendations, Anomaly Detection, Natural Language Q&amp;A). No AI model is called anywhere in this workbook today.</t>
        </is>
      </c>
    </row>
    <row r="5" hidden="1" outlineLevel="1" ht="13" customHeight="1">
      <c r="A5" s="4" t="inlineStr">
        <is>
          <t>Input tables</t>
        </is>
      </c>
      <c r="B5" s="5" t="inlineStr">
        <is>
          <t>None yet. Future: the Data Model (dax/MEASURES.md) + BI_Insights/BI_Alerts (Phase 5's own rule-based versions of Summary/Anomaly-Detection, which an AI layer would eventually supersede or enrich, not duplicate).</t>
        </is>
      </c>
    </row>
    <row r="6" hidden="1" outlineLevel="1" ht="13" customHeight="1">
      <c r="A6" s="4" t="inlineStr">
        <is>
          <t>Output tables</t>
        </is>
      </c>
      <c r="B6" s="5" t="inlineStr">
        <is>
          <t>None yet.</t>
        </is>
      </c>
    </row>
    <row r="7" hidden="1" outlineLevel="1" ht="13" customHeight="1">
      <c r="A7" s="4" t="inlineStr">
        <is>
          <t>Relationships</t>
        </is>
      </c>
      <c r="B7" s="5" t="inlineStr">
        <is>
          <t>None yet.</t>
        </is>
      </c>
    </row>
    <row r="8" hidden="1" outlineLevel="1" ht="13" customHeight="1">
      <c r="A8" s="4" t="inlineStr">
        <is>
          <t>Future data source</t>
        </is>
      </c>
      <c r="B8" s="5" t="inlineStr">
        <is>
          <t>A future phase's AI integration (e.g. an LLM API call summarizing the Data Model's current state) — not scoped or estimated here.</t>
        </is>
      </c>
    </row>
    <row r="9" hidden="1" outlineLevel="1"/>
    <row r="10" ht="6" customHeight="1"/>
    <row r="11" ht="18" customHeight="1">
      <c r="B11" s="39" t="inlineStr">
        <is>
          <t>FeatureName</t>
        </is>
      </c>
      <c r="C11" s="39" t="inlineStr">
        <is>
          <t>Status</t>
        </is>
      </c>
      <c r="D11" s="39" t="inlineStr">
        <is>
          <t>Description</t>
        </is>
      </c>
      <c r="E11" s="39" t="inlineStr">
        <is>
          <t>WouldReplaceOrEnrich</t>
        </is>
      </c>
    </row>
    <row r="12">
      <c r="B12" s="47" t="inlineStr">
        <is>
          <t>Executive Summary</t>
        </is>
      </c>
      <c r="C12" s="47" t="inlineStr">
        <is>
          <t>Not Implemented</t>
        </is>
      </c>
      <c r="D12" s="47" t="inlineStr">
        <is>
          <t>One-paragraph AI-written summary of the period's performance</t>
        </is>
      </c>
      <c r="E12" s="47" t="inlineStr">
        <is>
          <t>Enriches BI_Insights (adds narrative synthesis on top of the rule-based bullet points)</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3.xml><?xml version="1.0" encoding="utf-8"?>
<worksheet xmlns="http://schemas.openxmlformats.org/spreadsheetml/2006/main">
  <sheetPr>
    <tabColor rgb="0031859B"/>
    <outlinePr applyStyles="1" summaryBelow="0" summaryRight="1"/>
    <pageSetUpPr/>
  </sheetPr>
  <dimension ref="A1:E22"/>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BI_Insights</t>
        </is>
      </c>
    </row>
    <row r="2" ht="16" customHeight="1">
      <c r="A2" s="15" t="inlineStr">
        <is>
          <t>PASSRESS MIS   |   Home ▸ BI_Insights</t>
        </is>
      </c>
    </row>
    <row r="3" ht="14" customHeight="1">
      <c r="A3" s="3" t="inlineStr">
        <is>
          <t>Sheet Documentation  (use the  +  outline control at left to expand)</t>
        </is>
      </c>
    </row>
    <row r="4" hidden="1" outlineLevel="1" ht="13" customHeight="1">
      <c r="A4" s="4" t="inlineStr">
        <is>
          <t>Purpose</t>
        </is>
      </c>
      <c r="B4" s="5" t="inlineStr">
        <is>
          <t>Auto-generated business insights, one row per insight, built from CUBEVALUE formulas reading dax/MEASURES.md's measures directly (no PivotTable needed). Recalculates on every workbook open/refresh — nothing here is typed by hand.</t>
        </is>
      </c>
    </row>
    <row r="5" hidden="1" outlineLevel="1" ht="13" customHeight="1">
      <c r="A5" s="4" t="inlineStr">
        <is>
          <t>Input tables</t>
        </is>
      </c>
      <c r="B5" s="5" t="inlineStr">
        <is>
          <t>The Data Model (dax/MEASURES.md) via CUBEVALUE/CUBESET/CUBERANKEDMEMBER.</t>
        </is>
      </c>
    </row>
    <row r="6" hidden="1" outlineLevel="1" ht="13" customHeight="1">
      <c r="A6" s="4" t="inlineStr">
        <is>
          <t>Output tables</t>
        </is>
      </c>
      <c r="B6" s="5" t="inlineStr">
        <is>
          <t>02_Partner_Dashboard and 03_CEO_Dashboard both surface a subset of these rows under 'Key Insights'.</t>
        </is>
      </c>
    </row>
    <row r="7" hidden="1" outlineLevel="1" ht="13" customHeight="1">
      <c r="A7" s="4" t="inlineStr">
        <is>
          <t>Relationships</t>
        </is>
      </c>
      <c r="B7" s="5" t="inlineStr">
        <is>
          <t>No Data Model relationship — reads the model via CUBE functions, same mechanism the dashboards themselves use.</t>
        </is>
      </c>
    </row>
    <row r="8" hidden="1" outlineLevel="1" ht="13" customHeight="1">
      <c r="A8" s="4" t="inlineStr">
        <is>
          <t>Future data source</t>
        </is>
      </c>
      <c r="B8" s="5" t="inlineStr">
        <is>
          <t>Already live: resolves for real once the Data Model + measures are wired per dax/README.md. Until then shows blank/0 — expected, not an error.</t>
        </is>
      </c>
    </row>
    <row r="9" hidden="1" outlineLevel="1"/>
    <row r="10" ht="6" customHeight="1"/>
    <row r="11" ht="18" customHeight="1">
      <c r="B11" s="39" t="inlineStr">
        <is>
          <t>InsightID</t>
        </is>
      </c>
      <c r="C11" s="39" t="inlineStr">
        <is>
          <t>Category</t>
        </is>
      </c>
      <c r="D11" s="39" t="inlineStr">
        <is>
          <t>InsightText</t>
        </is>
      </c>
      <c r="E11" s="39" t="inlineStr">
        <is>
          <t>Severity</t>
        </is>
      </c>
    </row>
    <row r="12">
      <c r="B12" s="27" t="n"/>
      <c r="C12" s="27" t="n"/>
      <c r="D12" s="27" t="n"/>
      <c r="E12" s="27" t="n"/>
    </row>
    <row r="14">
      <c r="B14" s="48" t="inlineStr">
        <is>
          <t>INSIGHT FORMULAS  (CUBEVALUE-driven — see dax/PHASE5_MEASURES_ADDENDUM.md for the exact measures each one reads)</t>
        </is>
      </c>
    </row>
    <row r="15">
      <c r="B15" s="21" t="inlineStr">
        <is>
          <t>INS-01</t>
        </is>
      </c>
      <c r="C15" s="21" t="inlineStr">
        <is>
          <t>Sales</t>
        </is>
      </c>
      <c r="D15" s="49">
        <f>"Net Sales "&amp;TEXT(ABS(CUBEVALUE("ThisWorkbookDataModel","[Measures].[Revenue Growth % (YoY)]")),"0.0%")&amp;IF(CUBEVALUE("ThisWorkbookDataModel","[Measures].[Revenue Growth % (YoY)]")&gt;=0," higher"," lower")&amp;" than the same period last year."</f>
        <v/>
      </c>
      <c r="E15" s="21" t="inlineStr">
        <is>
          <t>Info</t>
        </is>
      </c>
    </row>
    <row r="16">
      <c r="B16" s="21" t="inlineStr">
        <is>
          <t>INS-02</t>
        </is>
      </c>
      <c r="C16" s="21" t="inlineStr">
        <is>
          <t>Margin</t>
        </is>
      </c>
      <c r="D16" s="49">
        <f>"Gross Margin is "&amp;TEXT(CUBEVALUE("ThisWorkbookDataModel","[Measures].[Gross Margin %]"),"0.0%")&amp;", vs. a target of "&amp;TEXT(CUBEVALUE("ThisWorkbookDataModel","[Measures].[Margin Target]"),"0.0%")&amp;"."</f>
        <v/>
      </c>
      <c r="E16" s="21" t="inlineStr">
        <is>
          <t>Info</t>
        </is>
      </c>
    </row>
    <row r="17">
      <c r="B17" s="21" t="inlineStr">
        <is>
          <t>INS-03</t>
        </is>
      </c>
      <c r="C17" s="21" t="inlineStr">
        <is>
          <t>Customers</t>
        </is>
      </c>
      <c r="D17" s="49">
        <f>"Customer Retention (month-over-month) is "&amp;TEXT(CUBEVALUE("ThisWorkbookDataModel","[Measures].[Customer Retention Rate (MoM)]"),"0.0%")&amp;"."</f>
        <v/>
      </c>
      <c r="E17" s="21" t="inlineStr">
        <is>
          <t>Info</t>
        </is>
      </c>
    </row>
    <row r="18">
      <c r="B18" s="21" t="inlineStr">
        <is>
          <t>INS-04</t>
        </is>
      </c>
      <c r="C18" s="21" t="inlineStr">
        <is>
          <t>Inventory</t>
        </is>
      </c>
      <c r="D18" s="49">
        <f>IF(CUBEVALUE("ThisWorkbookDataModel","[Measures].[Inventory Turnover]")&lt;CUBEVALUE("ThisWorkbookDataModel","[Measures].[Inventory Turnover Target]"),"Inventory turnover is below target — stock may be moving slower than planned.","Inventory turnover is at or above target.")</f>
        <v/>
      </c>
      <c r="E18" s="21" t="inlineStr">
        <is>
          <t>Info</t>
        </is>
      </c>
    </row>
    <row r="19">
      <c r="B19" s="21" t="inlineStr">
        <is>
          <t>INS-05</t>
        </is>
      </c>
      <c r="C19" s="21" t="inlineStr">
        <is>
          <t>Cash</t>
        </is>
      </c>
      <c r="D19" s="49">
        <f>IF(CUBEVALUE("ThisWorkbookDataModel","[Measures].[Cash Position (Direct, Cumulative)]")&gt;0,"Cash position is healthy (positive).","Cash position is negative — review Reconciliation: Cash Variance before acting on this.")</f>
        <v/>
      </c>
      <c r="E19" s="21" t="inlineStr">
        <is>
          <t>Info</t>
        </is>
      </c>
    </row>
    <row r="20">
      <c r="B20" s="21" t="inlineStr">
        <is>
          <t>INS-06</t>
        </is>
      </c>
      <c r="C20" s="21" t="inlineStr">
        <is>
          <t>Products</t>
        </is>
      </c>
      <c r="D20" s="49">
        <f>"Best seller: "&amp;CUBERANKEDMEMBER("ThisWorkbookDataModel","{[DIM_Product].[Title].Children}",1)&amp;"."</f>
        <v/>
      </c>
      <c r="E20" s="21" t="inlineStr">
        <is>
          <t>Info</t>
        </is>
      </c>
    </row>
    <row r="21">
      <c r="B21" s="21" t="inlineStr">
        <is>
          <t>INS-07</t>
        </is>
      </c>
      <c r="C21" s="21" t="inlineStr">
        <is>
          <t>Products</t>
        </is>
      </c>
      <c r="D21" s="49">
        <f>"Weakest seller (with any sales): "&amp;CUBERANKEDMEMBER("ThisWorkbookDataModel","{[DIM_Product].[Title].Children}",1)&amp;" — see 05_Products for the full ranked list rather than relying on one row here."</f>
        <v/>
      </c>
      <c r="E21" s="21" t="inlineStr">
        <is>
          <t>Info</t>
        </is>
      </c>
    </row>
    <row r="22">
      <c r="B22" s="21" t="inlineStr">
        <is>
          <t>INS-08</t>
        </is>
      </c>
      <c r="C22" s="21" t="inlineStr">
        <is>
          <t>Orders</t>
        </is>
      </c>
      <c r="D22" s="49">
        <f>"Average Order Value is "&amp;TEXT(CUBEVALUE("ThisWorkbookDataModel","[Measures].[Average Order Value]"),"#,##0")&amp;" EGP, vs. a target of "&amp;TEXT(CUBEVALUE("ThisWorkbookDataModel","[Measures].[AOV Target]"),"#,##0")&amp;" EGP."</f>
        <v/>
      </c>
      <c r="E22" s="21" t="inlineStr">
        <is>
          <t>Info</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4.xml><?xml version="1.0" encoding="utf-8"?>
<worksheet xmlns="http://schemas.openxmlformats.org/spreadsheetml/2006/main">
  <sheetPr>
    <tabColor rgb="0031859B"/>
    <outlinePr applyStyles="1" summaryBelow="0" summaryRight="1"/>
    <pageSetUpPr/>
  </sheetPr>
  <dimension ref="A1:F26"/>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s>
  <sheetData>
    <row r="1" ht="34" customHeight="1">
      <c r="A1" s="1" t="inlineStr">
        <is>
          <t>BI_Alerts</t>
        </is>
      </c>
    </row>
    <row r="2" ht="16" customHeight="1">
      <c r="A2" s="15" t="inlineStr">
        <is>
          <t>PASSRESS MIS   |   Home ▸ BI_Alerts</t>
        </is>
      </c>
    </row>
    <row r="3" ht="14" customHeight="1">
      <c r="A3" s="3" t="inlineStr">
        <is>
          <t>Sheet Documentation  (use the  +  outline control at left to expand)</t>
        </is>
      </c>
    </row>
    <row r="4" hidden="1" outlineLevel="1" ht="13" customHeight="1">
      <c r="A4" s="4" t="inlineStr">
        <is>
          <t>Purpose</t>
        </is>
      </c>
      <c r="B4" s="5" t="inlineStr">
        <is>
          <t>Auto-generated operational alerts, one row per alert type, built from CUBEVALUE formulas plus a few direct structural checks already computed elsewhere (Product Cost Master's Overlap Warning, Manual Expenses' Possible Duplicate) rather than re-deriving them — reuses, doesn't duplicate, Phase 2-4's own data-quality logic.</t>
        </is>
      </c>
    </row>
    <row r="5" hidden="1" outlineLevel="1" ht="13" customHeight="1">
      <c r="A5" s="4" t="inlineStr">
        <is>
          <t>Input tables</t>
        </is>
      </c>
      <c r="B5" s="5" t="inlineStr">
        <is>
          <t>The Data Model (dax/MEASURES.md) via CUBEVALUE; LOG_DataQuality; tbl_ProductCostMaster/tbl_ManualExpenses' existing flag columns.</t>
        </is>
      </c>
    </row>
    <row r="6" hidden="1" outlineLevel="1" ht="13" customHeight="1">
      <c r="A6" s="4" t="inlineStr">
        <is>
          <t>Output tables</t>
        </is>
      </c>
      <c r="B6" s="5" t="inlineStr">
        <is>
          <t>14_Data_Quality and 03_CEO_Dashboard both surface these under 'Alerts'.</t>
        </is>
      </c>
    </row>
    <row r="7" hidden="1" outlineLevel="1" ht="13" customHeight="1">
      <c r="A7" s="4" t="inlineStr">
        <is>
          <t>Relationships</t>
        </is>
      </c>
      <c r="B7" s="5" t="inlineStr">
        <is>
          <t>No Data Model relationship — reads via CUBE functions and direct cell/table references.</t>
        </is>
      </c>
    </row>
    <row r="8" hidden="1" outlineLevel="1" ht="13" customHeight="1">
      <c r="A8" s="4" t="inlineStr">
        <is>
          <t>Future data source</t>
        </is>
      </c>
      <c r="B8" s="5" t="inlineStr">
        <is>
          <t>Already live: resolves for real once the Data Model + measures are wired per dax/README.md.</t>
        </is>
      </c>
    </row>
    <row r="9" hidden="1" outlineLevel="1"/>
    <row r="10" ht="6" customHeight="1"/>
    <row r="11" ht="18" customHeight="1">
      <c r="B11" s="39" t="inlineStr">
        <is>
          <t>AlertID</t>
        </is>
      </c>
      <c r="C11" s="39" t="inlineStr">
        <is>
          <t>AlertName</t>
        </is>
      </c>
      <c r="D11" s="39" t="inlineStr">
        <is>
          <t>Condition</t>
        </is>
      </c>
      <c r="E11" s="39" t="inlineStr">
        <is>
          <t>Status</t>
        </is>
      </c>
      <c r="F11" s="39" t="inlineStr">
        <is>
          <t>Severity</t>
        </is>
      </c>
    </row>
    <row r="12">
      <c r="B12" s="27" t="n"/>
      <c r="C12" s="27" t="n"/>
      <c r="D12" s="27" t="n"/>
      <c r="E12" s="27" t="n"/>
      <c r="F12" s="27" t="n"/>
    </row>
    <row r="14">
      <c r="B14" s="48" t="inlineStr">
        <is>
          <t>ALERT FORMULAS</t>
        </is>
      </c>
    </row>
    <row r="15">
      <c r="B15" s="21" t="inlineStr">
        <is>
          <t>ALT-01</t>
        </is>
      </c>
      <c r="C15" s="21" t="inlineStr">
        <is>
          <t>Low Inventory</t>
        </is>
      </c>
      <c r="D15" s="32" t="inlineStr">
        <is>
          <t>Inventory Value below target</t>
        </is>
      </c>
      <c r="E15" s="21">
        <f>IF(CUBEVALUE("ThisWorkbookDataModel","[Measures].[Inventory Value]")&lt;CUBEVALUE("ThisWorkbookDataModel","[Measures].[Inventory Target]")*0.5,"TRIGGERED","OK")</f>
        <v/>
      </c>
      <c r="F15" s="21" t="inlineStr">
        <is>
          <t>Warning</t>
        </is>
      </c>
    </row>
    <row r="16">
      <c r="B16" s="21" t="inlineStr">
        <is>
          <t>ALT-02</t>
        </is>
      </c>
      <c r="C16" s="21" t="inlineStr">
        <is>
          <t>Negative Margin</t>
        </is>
      </c>
      <c r="D16" s="32" t="inlineStr">
        <is>
          <t>Gross Margin % below 0</t>
        </is>
      </c>
      <c r="E16" s="21">
        <f>IF(CUBEVALUE("ThisWorkbookDataModel","[Measures].[Gross Margin %]")&lt;0,"TRIGGERED","OK")</f>
        <v/>
      </c>
      <c r="F16" s="21" t="inlineStr">
        <is>
          <t>Critical</t>
        </is>
      </c>
    </row>
    <row r="17">
      <c r="B17" s="21" t="inlineStr">
        <is>
          <t>ALT-03</t>
        </is>
      </c>
      <c r="C17" s="21" t="inlineStr">
        <is>
          <t>Products without Cost</t>
        </is>
      </c>
      <c r="D17" s="32" t="inlineStr">
        <is>
          <t>Order lines with no matching Product Cost Master row</t>
        </is>
      </c>
      <c r="E17" s="21">
        <f>IF(CUBEVALUE("ThisWorkbookDataModel","[Measures].[Lines Missing Cost]")&gt;0,"TRIGGERED ("&amp;CUBEVALUE("ThisWorkbookDataModel","[Measures].[Lines Missing Cost]")&amp;" lines)","OK")</f>
        <v/>
      </c>
      <c r="F17" s="21" t="inlineStr">
        <is>
          <t>Warning</t>
        </is>
      </c>
    </row>
    <row r="18">
      <c r="B18" s="21" t="inlineStr">
        <is>
          <t>ALT-04</t>
        </is>
      </c>
      <c r="C18" s="21" t="inlineStr">
        <is>
          <t>Products without SKU</t>
        </is>
      </c>
      <c r="D18" s="32" t="inlineStr">
        <is>
          <t>RAW_Variants rows with a blank SKU</t>
        </is>
      </c>
      <c r="E18" s="21">
        <f>IF(COUNTIFS(tbl_RAW_Variants[SKU],"")&gt;0,"TRIGGERED","OK")</f>
        <v/>
      </c>
      <c r="F18" s="21" t="inlineStr">
        <is>
          <t>Warning</t>
        </is>
      </c>
    </row>
    <row r="19">
      <c r="B19" s="21" t="inlineStr">
        <is>
          <t>ALT-05</t>
        </is>
      </c>
      <c r="C19" s="21" t="inlineStr">
        <is>
          <t>Expenses without Category</t>
        </is>
      </c>
      <c r="D19" s="32" t="inlineStr">
        <is>
          <t>Manual Expenses rows with a blank Expense Category</t>
        </is>
      </c>
      <c r="E19" s="21">
        <f>IF(COUNTIFS(tbl_ManualExpenses[Expense Category],"")&gt;0,"TRIGGERED","OK")</f>
        <v/>
      </c>
      <c r="F19" s="21" t="inlineStr">
        <is>
          <t>Warning</t>
        </is>
      </c>
    </row>
    <row r="20">
      <c r="B20" s="21" t="inlineStr">
        <is>
          <t>ALT-06</t>
        </is>
      </c>
      <c r="C20" s="21" t="inlineStr">
        <is>
          <t>Duplicate Expenses</t>
        </is>
      </c>
      <c r="D20" s="32" t="inlineStr">
        <is>
          <t>Manual Expenses flagged Possible Duplicate</t>
        </is>
      </c>
      <c r="E20" s="21">
        <f>IF(COUNTIF(tbl_ManualExpenses[Possible Duplicate],"Possible Duplicate")&gt;0,"TRIGGERED ("&amp;COUNTIF(tbl_ManualExpenses[Possible Duplicate],"Possible Duplicate")&amp;")","OK")</f>
        <v/>
      </c>
      <c r="F20" s="21" t="inlineStr">
        <is>
          <t>Info</t>
        </is>
      </c>
    </row>
    <row r="21">
      <c r="B21" s="21" t="inlineStr">
        <is>
          <t>ALT-07</t>
        </is>
      </c>
      <c r="C21" s="21" t="inlineStr">
        <is>
          <t>Inactive Products</t>
        </is>
      </c>
      <c r="D21" s="32" t="inlineStr">
        <is>
          <t>Product Cost Master rows marked Inactive with no Active replacement</t>
        </is>
      </c>
      <c r="E21" s="21">
        <f>IF(CUBEVALUE("ThisWorkbookDataModel","[Measures].[Lines Missing Cost]")&gt;0,"REVIEW — see Products without Cost above (same root cause)","OK")</f>
        <v/>
      </c>
      <c r="F21" s="21" t="inlineStr">
        <is>
          <t>Info</t>
        </is>
      </c>
    </row>
    <row r="22">
      <c r="B22" s="21" t="inlineStr">
        <is>
          <t>ALT-08</t>
        </is>
      </c>
      <c r="C22" s="21" t="inlineStr">
        <is>
          <t>Slow Moving Inventory</t>
        </is>
      </c>
      <c r="D22" s="32" t="inlineStr">
        <is>
          <t>SKUs below the Slow Moving threshold (dax/MEASURES.md)</t>
        </is>
      </c>
      <c r="E22" s="21">
        <f>IF(CUBEVALUE("ThisWorkbookDataModel","[Measures].[Slow Moving SKU Count]")&gt;0,"TRIGGERED ("&amp;CUBEVALUE("ThisWorkbookDataModel","[Measures].[Slow Moving SKU Count]")&amp;" SKUs)","OK")</f>
        <v/>
      </c>
      <c r="F22" s="21" t="inlineStr">
        <is>
          <t>Info</t>
        </is>
      </c>
    </row>
    <row r="23">
      <c r="B23" s="21" t="inlineStr">
        <is>
          <t>ALT-09</t>
        </is>
      </c>
      <c r="C23" s="21" t="inlineStr">
        <is>
          <t>Dead Stock</t>
        </is>
      </c>
      <c r="D23" s="32" t="inlineStr">
        <is>
          <t>SKUs with zero sales in 180 days while still holding stock</t>
        </is>
      </c>
      <c r="E23" s="21">
        <f>IF(CUBEVALUE("ThisWorkbookDataModel","[Measures].[Dead Stock SKU Count]")&gt;0,"TRIGGERED ("&amp;CUBEVALUE("ThisWorkbookDataModel","[Measures].[Dead Stock SKU Count]")&amp;" SKUs)","OK")</f>
        <v/>
      </c>
      <c r="F23" s="21" t="inlineStr">
        <is>
          <t>Warning</t>
        </is>
      </c>
    </row>
    <row r="24">
      <c r="B24" s="21" t="inlineStr">
        <is>
          <t>ALT-10</t>
        </is>
      </c>
      <c r="C24" s="21" t="inlineStr">
        <is>
          <t>Missing Shopify Sync</t>
        </is>
      </c>
      <c r="D24" s="32" t="inlineStr">
        <is>
          <t>No successful refresh recorded</t>
        </is>
      </c>
      <c r="E24" s="21">
        <f>IF(COUNTIFS(tbl_LOG_RefreshHistory[Timestamp],"&gt;="&amp;TODAY()-2)=0,"TRIGGERED","OK")</f>
        <v/>
      </c>
      <c r="F24" s="21" t="inlineStr">
        <is>
          <t>Critical</t>
        </is>
      </c>
    </row>
    <row r="25">
      <c r="B25" s="21" t="inlineStr">
        <is>
          <t>ALT-11</t>
        </is>
      </c>
      <c r="C25" s="21" t="inlineStr">
        <is>
          <t>Refresh Errors</t>
        </is>
      </c>
      <c r="D25" s="32" t="inlineStr">
        <is>
          <t>LOG_DataQuality rows with a WARNING status this refresh</t>
        </is>
      </c>
      <c r="E25" s="21">
        <f>IF(COUNTIF(tbl_LOG_DataQuality[Status],"WARNING*")&gt;0,"TRIGGERED","OK")</f>
        <v/>
      </c>
      <c r="F25" s="21" t="inlineStr">
        <is>
          <t>Warning</t>
        </is>
      </c>
    </row>
    <row r="26">
      <c r="B26" s="21" t="inlineStr">
        <is>
          <t>ALT-12</t>
        </is>
      </c>
      <c r="C26" s="21" t="inlineStr">
        <is>
          <t>Over Budget Expenses</t>
        </is>
      </c>
      <c r="D26" s="32" t="inlineStr">
        <is>
          <t>Operating Expenses exceed the Budget for the current period</t>
        </is>
      </c>
      <c r="E26" s="21">
        <f>IF(CUBEVALUE("ThisWorkbookDataModel","[Measures].[Operating Expenses]")&gt;CUBEVALUE("ThisWorkbookDataModel","[Measures].[Expense Budget (Period)]"),"TRIGGERED","OK")</f>
        <v/>
      </c>
      <c r="F26" s="21" t="inlineStr">
        <is>
          <t>Warning</t>
        </is>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4:F4"/>
    <mergeCell ref="A2:F2"/>
    <mergeCell ref="B7:F7"/>
    <mergeCell ref="B6:F6"/>
    <mergeCell ref="A1:F1"/>
    <mergeCell ref="B5:F5"/>
    <mergeCell ref="B8:F8"/>
    <mergeCell ref="A3:F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55.xml><?xml version="1.0" encoding="utf-8"?>
<worksheet xmlns="http://schemas.openxmlformats.org/spreadsheetml/2006/main">
  <sheetPr>
    <tabColor rgb="0031859B"/>
    <outlinePr applyStyles="1" summaryBelow="0" summaryRight="1"/>
    <pageSetUpPr/>
  </sheetPr>
  <dimension ref="A1:N41"/>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6" customWidth="1" min="3" max="3"/>
    <col width="16" customWidth="1" min="4" max="4"/>
    <col width="16" customWidth="1" min="5" max="5"/>
  </cols>
  <sheetData>
    <row r="1" ht="34" customHeight="1">
      <c r="A1" s="1" t="inlineStr">
        <is>
          <t>BI_Forecast</t>
        </is>
      </c>
    </row>
    <row r="2" ht="16" customHeight="1">
      <c r="A2" s="15" t="inlineStr">
        <is>
          <t>PASSRESS MIS   |   Home ▸ BI_Forecast</t>
        </is>
      </c>
    </row>
    <row r="3" ht="14" customHeight="1">
      <c r="A3" s="3" t="inlineStr">
        <is>
          <t>Sheet Documentation  (use the  +  outline control at left to expand)</t>
        </is>
      </c>
    </row>
    <row r="4" hidden="1" outlineLevel="1" ht="13" customHeight="1">
      <c r="A4" s="4" t="inlineStr">
        <is>
          <t>Purpose</t>
        </is>
      </c>
      <c r="B4" s="5" t="inlineStr">
        <is>
          <t>Rolling-trend forecast for Sales, Expenses, Profit, Inventory, and Cash — Excel's native FORECAST.LINEAR projecting one period ahead from each metric's trailing 12-month actuals (pulled via CUBEVALUE). Deliberately simple (linear trend, not seasonality-aware) so it's easy to audit and easy to replace.</t>
        </is>
      </c>
    </row>
    <row r="5" hidden="1" outlineLevel="1" ht="13" customHeight="1">
      <c r="A5" s="4" t="inlineStr">
        <is>
          <t>Input tables</t>
        </is>
      </c>
      <c r="B5" s="5" t="inlineStr">
        <is>
          <t>The Data Model (dax/MEASURES.md) via CUBEVALUE, trailing 12 months.</t>
        </is>
      </c>
    </row>
    <row r="6" hidden="1" outlineLevel="1" ht="13" customHeight="1">
      <c r="A6" s="4" t="inlineStr">
        <is>
          <t>Output tables</t>
        </is>
      </c>
      <c r="B6" s="5" t="inlineStr">
        <is>
          <t>03_CEO_Dashboard's Forecast section.</t>
        </is>
      </c>
    </row>
    <row r="7" hidden="1" outlineLevel="1" ht="13" customHeight="1">
      <c r="A7" s="4" t="inlineStr">
        <is>
          <t>Relationships</t>
        </is>
      </c>
      <c r="B7" s="5" t="inlineStr">
        <is>
          <t>No Data Model relationship.</t>
        </is>
      </c>
    </row>
    <row r="8" hidden="1" outlineLevel="1" ht="13" customHeight="1">
      <c r="A8" s="4" t="inlineStr">
        <is>
          <t>Future data source</t>
        </is>
      </c>
      <c r="B8" s="5" t="inlineStr">
        <is>
          <t>AI forecasting — replace this table's Method/Formula columns with a call to an external forecasting service once one exists; every other column (Metric, ForecastPeriod, ForecastValue) stays the same shape so downstream references don't break.</t>
        </is>
      </c>
    </row>
    <row r="9" hidden="1" outlineLevel="1"/>
    <row r="10" ht="6" customHeight="1"/>
    <row r="11" ht="18" customHeight="1">
      <c r="B11" s="39" t="inlineStr">
        <is>
          <t>Metric</t>
        </is>
      </c>
      <c r="C11" s="39" t="inlineStr">
        <is>
          <t>Method</t>
        </is>
      </c>
      <c r="D11" s="39" t="inlineStr">
        <is>
          <t>ForecastPeriod</t>
        </is>
      </c>
      <c r="E11" s="39" t="inlineStr">
        <is>
          <t>ForecastValue</t>
        </is>
      </c>
    </row>
    <row r="12">
      <c r="B12" s="27" t="n"/>
      <c r="C12" s="27" t="n"/>
      <c r="D12" s="27" t="n"/>
      <c r="E12" s="27" t="n"/>
    </row>
    <row r="14">
      <c r="B14" s="48" t="inlineStr">
        <is>
          <t>TRAILING 12-MONTH ACTUALS (feeds the forecasts below)</t>
        </is>
      </c>
    </row>
    <row r="15">
      <c r="B15" s="12" t="inlineStr">
        <is>
          <t>Sales — trailing 12 months</t>
        </is>
      </c>
    </row>
    <row r="16">
      <c r="C16" s="18">
        <f>TEXT(EDATE(TODAY(),-11),"mmm-yy")</f>
        <v/>
      </c>
      <c r="D16" s="18">
        <f>TEXT(EDATE(TODAY(),-10),"mmm-yy")</f>
        <v/>
      </c>
      <c r="E16" s="18">
        <f>TEXT(EDATE(TODAY(),-9),"mmm-yy")</f>
        <v/>
      </c>
      <c r="F16" s="18">
        <f>TEXT(EDATE(TODAY(),-8),"mmm-yy")</f>
        <v/>
      </c>
      <c r="G16" s="18">
        <f>TEXT(EDATE(TODAY(),-7),"mmm-yy")</f>
        <v/>
      </c>
      <c r="H16" s="18">
        <f>TEXT(EDATE(TODAY(),-6),"mmm-yy")</f>
        <v/>
      </c>
      <c r="I16" s="18">
        <f>TEXT(EDATE(TODAY(),-5),"mmm-yy")</f>
        <v/>
      </c>
      <c r="J16" s="18">
        <f>TEXT(EDATE(TODAY(),-4),"mmm-yy")</f>
        <v/>
      </c>
      <c r="K16" s="18">
        <f>TEXT(EDATE(TODAY(),-3),"mmm-yy")</f>
        <v/>
      </c>
      <c r="L16" s="18">
        <f>TEXT(EDATE(TODAY(),-2),"mmm-yy")</f>
        <v/>
      </c>
      <c r="M16" s="18">
        <f>TEXT(EDATE(TODAY(),-1),"mmm-yy")</f>
        <v/>
      </c>
      <c r="N16" s="18">
        <f>TEXT(EDATE(TODAY(),0),"mmm-yy")</f>
        <v/>
      </c>
    </row>
    <row r="17">
      <c r="C17" s="19">
        <f>CUBEVALUE("ThisWorkbookDataModel","[Measures].[Net Sales]","[DIM_Date].[Year].&amp;["&amp;YEAR(EDATE(TODAY(),-11))&amp;"]","[DIM_Date].[Month].&amp;["&amp;MONTH(EDATE(TODAY(),-11))&amp;"]")</f>
        <v/>
      </c>
      <c r="D17" s="19">
        <f>CUBEVALUE("ThisWorkbookDataModel","[Measures].[Net Sales]","[DIM_Date].[Year].&amp;["&amp;YEAR(EDATE(TODAY(),-10))&amp;"]","[DIM_Date].[Month].&amp;["&amp;MONTH(EDATE(TODAY(),-10))&amp;"]")</f>
        <v/>
      </c>
      <c r="E17" s="19">
        <f>CUBEVALUE("ThisWorkbookDataModel","[Measures].[Net Sales]","[DIM_Date].[Year].&amp;["&amp;YEAR(EDATE(TODAY(),-9))&amp;"]","[DIM_Date].[Month].&amp;["&amp;MONTH(EDATE(TODAY(),-9))&amp;"]")</f>
        <v/>
      </c>
      <c r="F17" s="19">
        <f>CUBEVALUE("ThisWorkbookDataModel","[Measures].[Net Sales]","[DIM_Date].[Year].&amp;["&amp;YEAR(EDATE(TODAY(),-8))&amp;"]","[DIM_Date].[Month].&amp;["&amp;MONTH(EDATE(TODAY(),-8))&amp;"]")</f>
        <v/>
      </c>
      <c r="G17" s="19">
        <f>CUBEVALUE("ThisWorkbookDataModel","[Measures].[Net Sales]","[DIM_Date].[Year].&amp;["&amp;YEAR(EDATE(TODAY(),-7))&amp;"]","[DIM_Date].[Month].&amp;["&amp;MONTH(EDATE(TODAY(),-7))&amp;"]")</f>
        <v/>
      </c>
      <c r="H17" s="19">
        <f>CUBEVALUE("ThisWorkbookDataModel","[Measures].[Net Sales]","[DIM_Date].[Year].&amp;["&amp;YEAR(EDATE(TODAY(),-6))&amp;"]","[DIM_Date].[Month].&amp;["&amp;MONTH(EDATE(TODAY(),-6))&amp;"]")</f>
        <v/>
      </c>
      <c r="I17" s="19">
        <f>CUBEVALUE("ThisWorkbookDataModel","[Measures].[Net Sales]","[DIM_Date].[Year].&amp;["&amp;YEAR(EDATE(TODAY(),-5))&amp;"]","[DIM_Date].[Month].&amp;["&amp;MONTH(EDATE(TODAY(),-5))&amp;"]")</f>
        <v/>
      </c>
      <c r="J17" s="19">
        <f>CUBEVALUE("ThisWorkbookDataModel","[Measures].[Net Sales]","[DIM_Date].[Year].&amp;["&amp;YEAR(EDATE(TODAY(),-4))&amp;"]","[DIM_Date].[Month].&amp;["&amp;MONTH(EDATE(TODAY(),-4))&amp;"]")</f>
        <v/>
      </c>
      <c r="K17" s="19">
        <f>CUBEVALUE("ThisWorkbookDataModel","[Measures].[Net Sales]","[DIM_Date].[Year].&amp;["&amp;YEAR(EDATE(TODAY(),-3))&amp;"]","[DIM_Date].[Month].&amp;["&amp;MONTH(EDATE(TODAY(),-3))&amp;"]")</f>
        <v/>
      </c>
      <c r="L17" s="19">
        <f>CUBEVALUE("ThisWorkbookDataModel","[Measures].[Net Sales]","[DIM_Date].[Year].&amp;["&amp;YEAR(EDATE(TODAY(),-2))&amp;"]","[DIM_Date].[Month].&amp;["&amp;MONTH(EDATE(TODAY(),-2))&amp;"]")</f>
        <v/>
      </c>
      <c r="M17" s="19">
        <f>CUBEVALUE("ThisWorkbookDataModel","[Measures].[Net Sales]","[DIM_Date].[Year].&amp;["&amp;YEAR(EDATE(TODAY(),-1))&amp;"]","[DIM_Date].[Month].&amp;["&amp;MONTH(EDATE(TODAY(),-1))&amp;"]")</f>
        <v/>
      </c>
      <c r="N17" s="19">
        <f>CUBEVALUE("ThisWorkbookDataModel","[Measures].[Net Sales]","[DIM_Date].[Year].&amp;["&amp;YEAR(EDATE(TODAY(),0))&amp;"]","[DIM_Date].[Month].&amp;["&amp;MONTH(EDATE(TODAY(),0))&amp;"]")</f>
        <v/>
      </c>
    </row>
    <row r="19">
      <c r="B19" s="12" t="inlineStr">
        <is>
          <t>Expenses — trailing 12 months</t>
        </is>
      </c>
    </row>
    <row r="20">
      <c r="C20" s="18">
        <f>TEXT(EDATE(TODAY(),-11),"mmm-yy")</f>
        <v/>
      </c>
      <c r="D20" s="18">
        <f>TEXT(EDATE(TODAY(),-10),"mmm-yy")</f>
        <v/>
      </c>
      <c r="E20" s="18">
        <f>TEXT(EDATE(TODAY(),-9),"mmm-yy")</f>
        <v/>
      </c>
      <c r="F20" s="18">
        <f>TEXT(EDATE(TODAY(),-8),"mmm-yy")</f>
        <v/>
      </c>
      <c r="G20" s="18">
        <f>TEXT(EDATE(TODAY(),-7),"mmm-yy")</f>
        <v/>
      </c>
      <c r="H20" s="18">
        <f>TEXT(EDATE(TODAY(),-6),"mmm-yy")</f>
        <v/>
      </c>
      <c r="I20" s="18">
        <f>TEXT(EDATE(TODAY(),-5),"mmm-yy")</f>
        <v/>
      </c>
      <c r="J20" s="18">
        <f>TEXT(EDATE(TODAY(),-4),"mmm-yy")</f>
        <v/>
      </c>
      <c r="K20" s="18">
        <f>TEXT(EDATE(TODAY(),-3),"mmm-yy")</f>
        <v/>
      </c>
      <c r="L20" s="18">
        <f>TEXT(EDATE(TODAY(),-2),"mmm-yy")</f>
        <v/>
      </c>
      <c r="M20" s="18">
        <f>TEXT(EDATE(TODAY(),-1),"mmm-yy")</f>
        <v/>
      </c>
      <c r="N20" s="18">
        <f>TEXT(EDATE(TODAY(),0),"mmm-yy")</f>
        <v/>
      </c>
    </row>
    <row r="21">
      <c r="C21" s="19">
        <f>CUBEVALUE("ThisWorkbookDataModel","[Measures].[Operating Expenses]","[DIM_Date].[Year].&amp;["&amp;YEAR(EDATE(TODAY(),-11))&amp;"]","[DIM_Date].[Month].&amp;["&amp;MONTH(EDATE(TODAY(),-11))&amp;"]")</f>
        <v/>
      </c>
      <c r="D21" s="19">
        <f>CUBEVALUE("ThisWorkbookDataModel","[Measures].[Operating Expenses]","[DIM_Date].[Year].&amp;["&amp;YEAR(EDATE(TODAY(),-10))&amp;"]","[DIM_Date].[Month].&amp;["&amp;MONTH(EDATE(TODAY(),-10))&amp;"]")</f>
        <v/>
      </c>
      <c r="E21" s="19">
        <f>CUBEVALUE("ThisWorkbookDataModel","[Measures].[Operating Expenses]","[DIM_Date].[Year].&amp;["&amp;YEAR(EDATE(TODAY(),-9))&amp;"]","[DIM_Date].[Month].&amp;["&amp;MONTH(EDATE(TODAY(),-9))&amp;"]")</f>
        <v/>
      </c>
      <c r="F21" s="19">
        <f>CUBEVALUE("ThisWorkbookDataModel","[Measures].[Operating Expenses]","[DIM_Date].[Year].&amp;["&amp;YEAR(EDATE(TODAY(),-8))&amp;"]","[DIM_Date].[Month].&amp;["&amp;MONTH(EDATE(TODAY(),-8))&amp;"]")</f>
        <v/>
      </c>
      <c r="G21" s="19">
        <f>CUBEVALUE("ThisWorkbookDataModel","[Measures].[Operating Expenses]","[DIM_Date].[Year].&amp;["&amp;YEAR(EDATE(TODAY(),-7))&amp;"]","[DIM_Date].[Month].&amp;["&amp;MONTH(EDATE(TODAY(),-7))&amp;"]")</f>
        <v/>
      </c>
      <c r="H21" s="19">
        <f>CUBEVALUE("ThisWorkbookDataModel","[Measures].[Operating Expenses]","[DIM_Date].[Year].&amp;["&amp;YEAR(EDATE(TODAY(),-6))&amp;"]","[DIM_Date].[Month].&amp;["&amp;MONTH(EDATE(TODAY(),-6))&amp;"]")</f>
        <v/>
      </c>
      <c r="I21" s="19">
        <f>CUBEVALUE("ThisWorkbookDataModel","[Measures].[Operating Expenses]","[DIM_Date].[Year].&amp;["&amp;YEAR(EDATE(TODAY(),-5))&amp;"]","[DIM_Date].[Month].&amp;["&amp;MONTH(EDATE(TODAY(),-5))&amp;"]")</f>
        <v/>
      </c>
      <c r="J21" s="19">
        <f>CUBEVALUE("ThisWorkbookDataModel","[Measures].[Operating Expenses]","[DIM_Date].[Year].&amp;["&amp;YEAR(EDATE(TODAY(),-4))&amp;"]","[DIM_Date].[Month].&amp;["&amp;MONTH(EDATE(TODAY(),-4))&amp;"]")</f>
        <v/>
      </c>
      <c r="K21" s="19">
        <f>CUBEVALUE("ThisWorkbookDataModel","[Measures].[Operating Expenses]","[DIM_Date].[Year].&amp;["&amp;YEAR(EDATE(TODAY(),-3))&amp;"]","[DIM_Date].[Month].&amp;["&amp;MONTH(EDATE(TODAY(),-3))&amp;"]")</f>
        <v/>
      </c>
      <c r="L21" s="19">
        <f>CUBEVALUE("ThisWorkbookDataModel","[Measures].[Operating Expenses]","[DIM_Date].[Year].&amp;["&amp;YEAR(EDATE(TODAY(),-2))&amp;"]","[DIM_Date].[Month].&amp;["&amp;MONTH(EDATE(TODAY(),-2))&amp;"]")</f>
        <v/>
      </c>
      <c r="M21" s="19">
        <f>CUBEVALUE("ThisWorkbookDataModel","[Measures].[Operating Expenses]","[DIM_Date].[Year].&amp;["&amp;YEAR(EDATE(TODAY(),-1))&amp;"]","[DIM_Date].[Month].&amp;["&amp;MONTH(EDATE(TODAY(),-1))&amp;"]")</f>
        <v/>
      </c>
      <c r="N21" s="19">
        <f>CUBEVALUE("ThisWorkbookDataModel","[Measures].[Operating Expenses]","[DIM_Date].[Year].&amp;["&amp;YEAR(EDATE(TODAY(),0))&amp;"]","[DIM_Date].[Month].&amp;["&amp;MONTH(EDATE(TODAY(),0))&amp;"]")</f>
        <v/>
      </c>
    </row>
    <row r="23">
      <c r="B23" s="12" t="inlineStr">
        <is>
          <t>Profit — trailing 12 months</t>
        </is>
      </c>
    </row>
    <row r="24">
      <c r="C24" s="18">
        <f>TEXT(EDATE(TODAY(),-11),"mmm-yy")</f>
        <v/>
      </c>
      <c r="D24" s="18">
        <f>TEXT(EDATE(TODAY(),-10),"mmm-yy")</f>
        <v/>
      </c>
      <c r="E24" s="18">
        <f>TEXT(EDATE(TODAY(),-9),"mmm-yy")</f>
        <v/>
      </c>
      <c r="F24" s="18">
        <f>TEXT(EDATE(TODAY(),-8),"mmm-yy")</f>
        <v/>
      </c>
      <c r="G24" s="18">
        <f>TEXT(EDATE(TODAY(),-7),"mmm-yy")</f>
        <v/>
      </c>
      <c r="H24" s="18">
        <f>TEXT(EDATE(TODAY(),-6),"mmm-yy")</f>
        <v/>
      </c>
      <c r="I24" s="18">
        <f>TEXT(EDATE(TODAY(),-5),"mmm-yy")</f>
        <v/>
      </c>
      <c r="J24" s="18">
        <f>TEXT(EDATE(TODAY(),-4),"mmm-yy")</f>
        <v/>
      </c>
      <c r="K24" s="18">
        <f>TEXT(EDATE(TODAY(),-3),"mmm-yy")</f>
        <v/>
      </c>
      <c r="L24" s="18">
        <f>TEXT(EDATE(TODAY(),-2),"mmm-yy")</f>
        <v/>
      </c>
      <c r="M24" s="18">
        <f>TEXT(EDATE(TODAY(),-1),"mmm-yy")</f>
        <v/>
      </c>
      <c r="N24" s="18">
        <f>TEXT(EDATE(TODAY(),0),"mmm-yy")</f>
        <v/>
      </c>
    </row>
    <row r="25">
      <c r="C25" s="19">
        <f>CUBEVALUE("ThisWorkbookDataModel","[Measures].[Net Profit]","[DIM_Date].[Year].&amp;["&amp;YEAR(EDATE(TODAY(),-11))&amp;"]","[DIM_Date].[Month].&amp;["&amp;MONTH(EDATE(TODAY(),-11))&amp;"]")</f>
        <v/>
      </c>
      <c r="D25" s="19">
        <f>CUBEVALUE("ThisWorkbookDataModel","[Measures].[Net Profit]","[DIM_Date].[Year].&amp;["&amp;YEAR(EDATE(TODAY(),-10))&amp;"]","[DIM_Date].[Month].&amp;["&amp;MONTH(EDATE(TODAY(),-10))&amp;"]")</f>
        <v/>
      </c>
      <c r="E25" s="19">
        <f>CUBEVALUE("ThisWorkbookDataModel","[Measures].[Net Profit]","[DIM_Date].[Year].&amp;["&amp;YEAR(EDATE(TODAY(),-9))&amp;"]","[DIM_Date].[Month].&amp;["&amp;MONTH(EDATE(TODAY(),-9))&amp;"]")</f>
        <v/>
      </c>
      <c r="F25" s="19">
        <f>CUBEVALUE("ThisWorkbookDataModel","[Measures].[Net Profit]","[DIM_Date].[Year].&amp;["&amp;YEAR(EDATE(TODAY(),-8))&amp;"]","[DIM_Date].[Month].&amp;["&amp;MONTH(EDATE(TODAY(),-8))&amp;"]")</f>
        <v/>
      </c>
      <c r="G25" s="19">
        <f>CUBEVALUE("ThisWorkbookDataModel","[Measures].[Net Profit]","[DIM_Date].[Year].&amp;["&amp;YEAR(EDATE(TODAY(),-7))&amp;"]","[DIM_Date].[Month].&amp;["&amp;MONTH(EDATE(TODAY(),-7))&amp;"]")</f>
        <v/>
      </c>
      <c r="H25" s="19">
        <f>CUBEVALUE("ThisWorkbookDataModel","[Measures].[Net Profit]","[DIM_Date].[Year].&amp;["&amp;YEAR(EDATE(TODAY(),-6))&amp;"]","[DIM_Date].[Month].&amp;["&amp;MONTH(EDATE(TODAY(),-6))&amp;"]")</f>
        <v/>
      </c>
      <c r="I25" s="19">
        <f>CUBEVALUE("ThisWorkbookDataModel","[Measures].[Net Profit]","[DIM_Date].[Year].&amp;["&amp;YEAR(EDATE(TODAY(),-5))&amp;"]","[DIM_Date].[Month].&amp;["&amp;MONTH(EDATE(TODAY(),-5))&amp;"]")</f>
        <v/>
      </c>
      <c r="J25" s="19">
        <f>CUBEVALUE("ThisWorkbookDataModel","[Measures].[Net Profit]","[DIM_Date].[Year].&amp;["&amp;YEAR(EDATE(TODAY(),-4))&amp;"]","[DIM_Date].[Month].&amp;["&amp;MONTH(EDATE(TODAY(),-4))&amp;"]")</f>
        <v/>
      </c>
      <c r="K25" s="19">
        <f>CUBEVALUE("ThisWorkbookDataModel","[Measures].[Net Profit]","[DIM_Date].[Year].&amp;["&amp;YEAR(EDATE(TODAY(),-3))&amp;"]","[DIM_Date].[Month].&amp;["&amp;MONTH(EDATE(TODAY(),-3))&amp;"]")</f>
        <v/>
      </c>
      <c r="L25" s="19">
        <f>CUBEVALUE("ThisWorkbookDataModel","[Measures].[Net Profit]","[DIM_Date].[Year].&amp;["&amp;YEAR(EDATE(TODAY(),-2))&amp;"]","[DIM_Date].[Month].&amp;["&amp;MONTH(EDATE(TODAY(),-2))&amp;"]")</f>
        <v/>
      </c>
      <c r="M25" s="19">
        <f>CUBEVALUE("ThisWorkbookDataModel","[Measures].[Net Profit]","[DIM_Date].[Year].&amp;["&amp;YEAR(EDATE(TODAY(),-1))&amp;"]","[DIM_Date].[Month].&amp;["&amp;MONTH(EDATE(TODAY(),-1))&amp;"]")</f>
        <v/>
      </c>
      <c r="N25" s="19">
        <f>CUBEVALUE("ThisWorkbookDataModel","[Measures].[Net Profit]","[DIM_Date].[Year].&amp;["&amp;YEAR(EDATE(TODAY(),0))&amp;"]","[DIM_Date].[Month].&amp;["&amp;MONTH(EDATE(TODAY(),0))&amp;"]")</f>
        <v/>
      </c>
    </row>
    <row r="27">
      <c r="B27" s="12" t="inlineStr">
        <is>
          <t>Inventory — trailing 12 months</t>
        </is>
      </c>
    </row>
    <row r="28">
      <c r="C28" s="18">
        <f>TEXT(EDATE(TODAY(),-11),"mmm-yy")</f>
        <v/>
      </c>
      <c r="D28" s="18">
        <f>TEXT(EDATE(TODAY(),-10),"mmm-yy")</f>
        <v/>
      </c>
      <c r="E28" s="18">
        <f>TEXT(EDATE(TODAY(),-9),"mmm-yy")</f>
        <v/>
      </c>
      <c r="F28" s="18">
        <f>TEXT(EDATE(TODAY(),-8),"mmm-yy")</f>
        <v/>
      </c>
      <c r="G28" s="18">
        <f>TEXT(EDATE(TODAY(),-7),"mmm-yy")</f>
        <v/>
      </c>
      <c r="H28" s="18">
        <f>TEXT(EDATE(TODAY(),-6),"mmm-yy")</f>
        <v/>
      </c>
      <c r="I28" s="18">
        <f>TEXT(EDATE(TODAY(),-5),"mmm-yy")</f>
        <v/>
      </c>
      <c r="J28" s="18">
        <f>TEXT(EDATE(TODAY(),-4),"mmm-yy")</f>
        <v/>
      </c>
      <c r="K28" s="18">
        <f>TEXT(EDATE(TODAY(),-3),"mmm-yy")</f>
        <v/>
      </c>
      <c r="L28" s="18">
        <f>TEXT(EDATE(TODAY(),-2),"mmm-yy")</f>
        <v/>
      </c>
      <c r="M28" s="18">
        <f>TEXT(EDATE(TODAY(),-1),"mmm-yy")</f>
        <v/>
      </c>
      <c r="N28" s="18">
        <f>TEXT(EDATE(TODAY(),0),"mmm-yy")</f>
        <v/>
      </c>
    </row>
    <row r="29">
      <c r="C29" s="19">
        <f>CUBEVALUE("ThisWorkbookDataModel","[Measures].[Inventory Value]","[DIM_Date].[Year].&amp;["&amp;YEAR(EDATE(TODAY(),-11))&amp;"]","[DIM_Date].[Month].&amp;["&amp;MONTH(EDATE(TODAY(),-11))&amp;"]")</f>
        <v/>
      </c>
      <c r="D29" s="19">
        <f>CUBEVALUE("ThisWorkbookDataModel","[Measures].[Inventory Value]","[DIM_Date].[Year].&amp;["&amp;YEAR(EDATE(TODAY(),-10))&amp;"]","[DIM_Date].[Month].&amp;["&amp;MONTH(EDATE(TODAY(),-10))&amp;"]")</f>
        <v/>
      </c>
      <c r="E29" s="19">
        <f>CUBEVALUE("ThisWorkbookDataModel","[Measures].[Inventory Value]","[DIM_Date].[Year].&amp;["&amp;YEAR(EDATE(TODAY(),-9))&amp;"]","[DIM_Date].[Month].&amp;["&amp;MONTH(EDATE(TODAY(),-9))&amp;"]")</f>
        <v/>
      </c>
      <c r="F29" s="19">
        <f>CUBEVALUE("ThisWorkbookDataModel","[Measures].[Inventory Value]","[DIM_Date].[Year].&amp;["&amp;YEAR(EDATE(TODAY(),-8))&amp;"]","[DIM_Date].[Month].&amp;["&amp;MONTH(EDATE(TODAY(),-8))&amp;"]")</f>
        <v/>
      </c>
      <c r="G29" s="19">
        <f>CUBEVALUE("ThisWorkbookDataModel","[Measures].[Inventory Value]","[DIM_Date].[Year].&amp;["&amp;YEAR(EDATE(TODAY(),-7))&amp;"]","[DIM_Date].[Month].&amp;["&amp;MONTH(EDATE(TODAY(),-7))&amp;"]")</f>
        <v/>
      </c>
      <c r="H29" s="19">
        <f>CUBEVALUE("ThisWorkbookDataModel","[Measures].[Inventory Value]","[DIM_Date].[Year].&amp;["&amp;YEAR(EDATE(TODAY(),-6))&amp;"]","[DIM_Date].[Month].&amp;["&amp;MONTH(EDATE(TODAY(),-6))&amp;"]")</f>
        <v/>
      </c>
      <c r="I29" s="19">
        <f>CUBEVALUE("ThisWorkbookDataModel","[Measures].[Inventory Value]","[DIM_Date].[Year].&amp;["&amp;YEAR(EDATE(TODAY(),-5))&amp;"]","[DIM_Date].[Month].&amp;["&amp;MONTH(EDATE(TODAY(),-5))&amp;"]")</f>
        <v/>
      </c>
      <c r="J29" s="19">
        <f>CUBEVALUE("ThisWorkbookDataModel","[Measures].[Inventory Value]","[DIM_Date].[Year].&amp;["&amp;YEAR(EDATE(TODAY(),-4))&amp;"]","[DIM_Date].[Month].&amp;["&amp;MONTH(EDATE(TODAY(),-4))&amp;"]")</f>
        <v/>
      </c>
      <c r="K29" s="19">
        <f>CUBEVALUE("ThisWorkbookDataModel","[Measures].[Inventory Value]","[DIM_Date].[Year].&amp;["&amp;YEAR(EDATE(TODAY(),-3))&amp;"]","[DIM_Date].[Month].&amp;["&amp;MONTH(EDATE(TODAY(),-3))&amp;"]")</f>
        <v/>
      </c>
      <c r="L29" s="19">
        <f>CUBEVALUE("ThisWorkbookDataModel","[Measures].[Inventory Value]","[DIM_Date].[Year].&amp;["&amp;YEAR(EDATE(TODAY(),-2))&amp;"]","[DIM_Date].[Month].&amp;["&amp;MONTH(EDATE(TODAY(),-2))&amp;"]")</f>
        <v/>
      </c>
      <c r="M29" s="19">
        <f>CUBEVALUE("ThisWorkbookDataModel","[Measures].[Inventory Value]","[DIM_Date].[Year].&amp;["&amp;YEAR(EDATE(TODAY(),-1))&amp;"]","[DIM_Date].[Month].&amp;["&amp;MONTH(EDATE(TODAY(),-1))&amp;"]")</f>
        <v/>
      </c>
      <c r="N29" s="19">
        <f>CUBEVALUE("ThisWorkbookDataModel","[Measures].[Inventory Value]","[DIM_Date].[Year].&amp;["&amp;YEAR(EDATE(TODAY(),0))&amp;"]","[DIM_Date].[Month].&amp;["&amp;MONTH(EDATE(TODAY(),0))&amp;"]")</f>
        <v/>
      </c>
    </row>
    <row r="31">
      <c r="B31" s="12" t="inlineStr">
        <is>
          <t>Cash — trailing 12 months</t>
        </is>
      </c>
    </row>
    <row r="32">
      <c r="C32" s="18">
        <f>TEXT(EDATE(TODAY(),-11),"mmm-yy")</f>
        <v/>
      </c>
      <c r="D32" s="18">
        <f>TEXT(EDATE(TODAY(),-10),"mmm-yy")</f>
        <v/>
      </c>
      <c r="E32" s="18">
        <f>TEXT(EDATE(TODAY(),-9),"mmm-yy")</f>
        <v/>
      </c>
      <c r="F32" s="18">
        <f>TEXT(EDATE(TODAY(),-8),"mmm-yy")</f>
        <v/>
      </c>
      <c r="G32" s="18">
        <f>TEXT(EDATE(TODAY(),-7),"mmm-yy")</f>
        <v/>
      </c>
      <c r="H32" s="18">
        <f>TEXT(EDATE(TODAY(),-6),"mmm-yy")</f>
        <v/>
      </c>
      <c r="I32" s="18">
        <f>TEXT(EDATE(TODAY(),-5),"mmm-yy")</f>
        <v/>
      </c>
      <c r="J32" s="18">
        <f>TEXT(EDATE(TODAY(),-4),"mmm-yy")</f>
        <v/>
      </c>
      <c r="K32" s="18">
        <f>TEXT(EDATE(TODAY(),-3),"mmm-yy")</f>
        <v/>
      </c>
      <c r="L32" s="18">
        <f>TEXT(EDATE(TODAY(),-2),"mmm-yy")</f>
        <v/>
      </c>
      <c r="M32" s="18">
        <f>TEXT(EDATE(TODAY(),-1),"mmm-yy")</f>
        <v/>
      </c>
      <c r="N32" s="18">
        <f>TEXT(EDATE(TODAY(),0),"mmm-yy")</f>
        <v/>
      </c>
    </row>
    <row r="33">
      <c r="C33" s="19">
        <f>CUBEVALUE("ThisWorkbookDataModel","[Measures].[Cash Position (Direct, Cumulative)]","[DIM_Date].[Year].&amp;["&amp;YEAR(EDATE(TODAY(),-11))&amp;"]","[DIM_Date].[Month].&amp;["&amp;MONTH(EDATE(TODAY(),-11))&amp;"]")</f>
        <v/>
      </c>
      <c r="D33" s="19">
        <f>CUBEVALUE("ThisWorkbookDataModel","[Measures].[Cash Position (Direct, Cumulative)]","[DIM_Date].[Year].&amp;["&amp;YEAR(EDATE(TODAY(),-10))&amp;"]","[DIM_Date].[Month].&amp;["&amp;MONTH(EDATE(TODAY(),-10))&amp;"]")</f>
        <v/>
      </c>
      <c r="E33" s="19">
        <f>CUBEVALUE("ThisWorkbookDataModel","[Measures].[Cash Position (Direct, Cumulative)]","[DIM_Date].[Year].&amp;["&amp;YEAR(EDATE(TODAY(),-9))&amp;"]","[DIM_Date].[Month].&amp;["&amp;MONTH(EDATE(TODAY(),-9))&amp;"]")</f>
        <v/>
      </c>
      <c r="F33" s="19">
        <f>CUBEVALUE("ThisWorkbookDataModel","[Measures].[Cash Position (Direct, Cumulative)]","[DIM_Date].[Year].&amp;["&amp;YEAR(EDATE(TODAY(),-8))&amp;"]","[DIM_Date].[Month].&amp;["&amp;MONTH(EDATE(TODAY(),-8))&amp;"]")</f>
        <v/>
      </c>
      <c r="G33" s="19">
        <f>CUBEVALUE("ThisWorkbookDataModel","[Measures].[Cash Position (Direct, Cumulative)]","[DIM_Date].[Year].&amp;["&amp;YEAR(EDATE(TODAY(),-7))&amp;"]","[DIM_Date].[Month].&amp;["&amp;MONTH(EDATE(TODAY(),-7))&amp;"]")</f>
        <v/>
      </c>
      <c r="H33" s="19">
        <f>CUBEVALUE("ThisWorkbookDataModel","[Measures].[Cash Position (Direct, Cumulative)]","[DIM_Date].[Year].&amp;["&amp;YEAR(EDATE(TODAY(),-6))&amp;"]","[DIM_Date].[Month].&amp;["&amp;MONTH(EDATE(TODAY(),-6))&amp;"]")</f>
        <v/>
      </c>
      <c r="I33" s="19">
        <f>CUBEVALUE("ThisWorkbookDataModel","[Measures].[Cash Position (Direct, Cumulative)]","[DIM_Date].[Year].&amp;["&amp;YEAR(EDATE(TODAY(),-5))&amp;"]","[DIM_Date].[Month].&amp;["&amp;MONTH(EDATE(TODAY(),-5))&amp;"]")</f>
        <v/>
      </c>
      <c r="J33" s="19">
        <f>CUBEVALUE("ThisWorkbookDataModel","[Measures].[Cash Position (Direct, Cumulative)]","[DIM_Date].[Year].&amp;["&amp;YEAR(EDATE(TODAY(),-4))&amp;"]","[DIM_Date].[Month].&amp;["&amp;MONTH(EDATE(TODAY(),-4))&amp;"]")</f>
        <v/>
      </c>
      <c r="K33" s="19">
        <f>CUBEVALUE("ThisWorkbookDataModel","[Measures].[Cash Position (Direct, Cumulative)]","[DIM_Date].[Year].&amp;["&amp;YEAR(EDATE(TODAY(),-3))&amp;"]","[DIM_Date].[Month].&amp;["&amp;MONTH(EDATE(TODAY(),-3))&amp;"]")</f>
        <v/>
      </c>
      <c r="L33" s="19">
        <f>CUBEVALUE("ThisWorkbookDataModel","[Measures].[Cash Position (Direct, Cumulative)]","[DIM_Date].[Year].&amp;["&amp;YEAR(EDATE(TODAY(),-2))&amp;"]","[DIM_Date].[Month].&amp;["&amp;MONTH(EDATE(TODAY(),-2))&amp;"]")</f>
        <v/>
      </c>
      <c r="M33" s="19">
        <f>CUBEVALUE("ThisWorkbookDataModel","[Measures].[Cash Position (Direct, Cumulative)]","[DIM_Date].[Year].&amp;["&amp;YEAR(EDATE(TODAY(),-1))&amp;"]","[DIM_Date].[Month].&amp;["&amp;MONTH(EDATE(TODAY(),-1))&amp;"]")</f>
        <v/>
      </c>
      <c r="N33" s="19">
        <f>CUBEVALUE("ThisWorkbookDataModel","[Measures].[Cash Position (Direct, Cumulative)]","[DIM_Date].[Year].&amp;["&amp;YEAR(EDATE(TODAY(),0))&amp;"]","[DIM_Date].[Month].&amp;["&amp;MONTH(EDATE(TODAY(),0))&amp;"]")</f>
        <v/>
      </c>
    </row>
    <row r="36">
      <c r="B36" s="48" t="inlineStr">
        <is>
          <t>FORECAST (next period, linear trend)</t>
        </is>
      </c>
    </row>
    <row r="37">
      <c r="B37" s="21" t="inlineStr">
        <is>
          <t>Sales</t>
        </is>
      </c>
      <c r="C37" s="21" t="inlineStr">
        <is>
          <t>Linear Trend (FORECAST.LINEAR)</t>
        </is>
      </c>
      <c r="D37" s="21" t="inlineStr">
        <is>
          <t>Next Month</t>
        </is>
      </c>
      <c r="E37" s="50">
        <f>_xlfn.FORECAST.LINEAR(13,C17:N17,{1,2,3,4,5,6,7,8,9,10,11,12})</f>
        <v/>
      </c>
    </row>
    <row r="38">
      <c r="B38" s="21" t="inlineStr">
        <is>
          <t>Expenses</t>
        </is>
      </c>
      <c r="C38" s="21" t="inlineStr">
        <is>
          <t>Linear Trend (FORECAST.LINEAR)</t>
        </is>
      </c>
      <c r="D38" s="21" t="inlineStr">
        <is>
          <t>Next Month</t>
        </is>
      </c>
      <c r="E38" s="50">
        <f>_xlfn.FORECAST.LINEAR(13,C21:N21,{1,2,3,4,5,6,7,8,9,10,11,12})</f>
        <v/>
      </c>
    </row>
    <row r="39">
      <c r="B39" s="21" t="inlineStr">
        <is>
          <t>Profit</t>
        </is>
      </c>
      <c r="C39" s="21" t="inlineStr">
        <is>
          <t>Linear Trend (FORECAST.LINEAR)</t>
        </is>
      </c>
      <c r="D39" s="21" t="inlineStr">
        <is>
          <t>Next Month</t>
        </is>
      </c>
      <c r="E39" s="50">
        <f>_xlfn.FORECAST.LINEAR(13,C25:N25,{1,2,3,4,5,6,7,8,9,10,11,12})</f>
        <v/>
      </c>
    </row>
    <row r="40">
      <c r="B40" s="21" t="inlineStr">
        <is>
          <t>Inventory</t>
        </is>
      </c>
      <c r="C40" s="21" t="inlineStr">
        <is>
          <t>Linear Trend (FORECAST.LINEAR)</t>
        </is>
      </c>
      <c r="D40" s="21" t="inlineStr">
        <is>
          <t>Next Month</t>
        </is>
      </c>
      <c r="E40" s="50">
        <f>_xlfn.FORECAST.LINEAR(13,C29:N29,{1,2,3,4,5,6,7,8,9,10,11,12})</f>
        <v/>
      </c>
    </row>
    <row r="41">
      <c r="B41" s="21" t="inlineStr">
        <is>
          <t>Cash</t>
        </is>
      </c>
      <c r="C41" s="21" t="inlineStr">
        <is>
          <t>Linear Trend (FORECAST.LINEAR)</t>
        </is>
      </c>
      <c r="D41" s="21" t="inlineStr">
        <is>
          <t>Next Month</t>
        </is>
      </c>
      <c r="E41" s="50">
        <f>_xlfn.FORECAST.LINEAR(13,C33:N33,{1,2,3,4,5,6,7,8,9,10,11,12})</f>
        <v/>
      </c>
    </row>
  </sheetData>
  <sheetProtection selectLockedCells="0" selectUnlockedCells="0" sheet="1" objects="0" insertRows="0" insertHyperlinks="1" autoFilter="1" scenarios="0" formatColumns="0" deleteColumns="0" insertColumns="0" pivotTables="0" deleteRows="0" formatCells="0" formatRows="0" sort="1" password="C24F"/>
  <mergeCells count="8">
    <mergeCell ref="B8:E8"/>
    <mergeCell ref="B4:E4"/>
    <mergeCell ref="A2:E2"/>
    <mergeCell ref="B6:E6"/>
    <mergeCell ref="B7:E7"/>
    <mergeCell ref="A1:E1"/>
    <mergeCell ref="B5:E5"/>
    <mergeCell ref="A3:E3"/>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2026-07-26T10:04:33Z</dcterms:created>
  <dcterms:modified xsi:type="dcterms:W3CDTF">2026-07-26T10:04:33Z</dcterms:modified>
</cp:coreProperties>
</file>