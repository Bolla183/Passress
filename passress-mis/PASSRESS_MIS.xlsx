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tables/table31.xml" ContentType="application/vnd.openxmlformats-officedocument.spreadsheetml.table+xml"/>
  <Override PartName="/xl/worksheets/sheet17.xml" ContentType="application/vnd.openxmlformats-officedocument.spreadsheetml.worksheet+xml"/>
  <Override PartName="/xl/tables/table32.xml" ContentType="application/vnd.openxmlformats-officedocument.spreadsheetml.table+xml"/>
  <Override PartName="/xl/worksheets/sheet18.xml" ContentType="application/vnd.openxmlformats-officedocument.spreadsheetml.worksheet+xml"/>
  <Override PartName="/xl/tables/table33.xml" ContentType="application/vnd.openxmlformats-officedocument.spreadsheetml.table+xml"/>
  <Override PartName="/xl/worksheets/sheet19.xml" ContentType="application/vnd.openxmlformats-officedocument.spreadsheetml.worksheet+xml"/>
  <Override PartName="/xl/tables/table34.xml" ContentType="application/vnd.openxmlformats-officedocument.spreadsheetml.table+xml"/>
  <Override PartName="/xl/worksheets/sheet20.xml" ContentType="application/vnd.openxmlformats-officedocument.spreadsheetml.worksheet+xml"/>
  <Override PartName="/xl/tables/table35.xml" ContentType="application/vnd.openxmlformats-officedocument.spreadsheetml.table+xml"/>
  <Override PartName="/xl/worksheets/sheet21.xml" ContentType="application/vnd.openxmlformats-officedocument.spreadsheetml.worksheet+xml"/>
  <Override PartName="/xl/tables/table36.xml" ContentType="application/vnd.openxmlformats-officedocument.spreadsheetml.table+xml"/>
  <Override PartName="/xl/worksheets/sheet22.xml" ContentType="application/vnd.openxmlformats-officedocument.spreadsheetml.worksheet+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worksheets/sheet25.xml" ContentType="application/vnd.openxmlformats-officedocument.spreadsheetml.worksheet+xml"/>
  <Override PartName="/xl/tables/table40.xml" ContentType="application/vnd.openxmlformats-officedocument.spreadsheetml.table+xml"/>
  <Override PartName="/xl/worksheets/sheet26.xml" ContentType="application/vnd.openxmlformats-officedocument.spreadsheetml.worksheet+xml"/>
  <Override PartName="/xl/tables/table41.xml" ContentType="application/vnd.openxmlformats-officedocument.spreadsheetml.table+xml"/>
  <Override PartName="/xl/worksheets/sheet27.xml" ContentType="application/vnd.openxmlformats-officedocument.spreadsheetml.worksheet+xml"/>
  <Override PartName="/xl/tables/table42.xml" ContentType="application/vnd.openxmlformats-officedocument.spreadsheetml.table+xml"/>
  <Override PartName="/xl/worksheets/sheet28.xml" ContentType="application/vnd.openxmlformats-officedocument.spreadsheetml.worksheet+xml"/>
  <Override PartName="/xl/tables/table43.xml" ContentType="application/vnd.openxmlformats-officedocument.spreadsheetml.table+xml"/>
  <Override PartName="/xl/worksheets/sheet29.xml" ContentType="application/vnd.openxmlformats-officedocument.spreadsheetml.worksheet+xml"/>
  <Override PartName="/xl/tables/table44.xml" ContentType="application/vnd.openxmlformats-officedocument.spreadsheetml.table+xml"/>
  <Override PartName="/xl/worksheets/sheet30.xml" ContentType="application/vnd.openxmlformats-officedocument.spreadsheetml.worksheet+xml"/>
  <Override PartName="/xl/tables/table45.xml" ContentType="application/vnd.openxmlformats-officedocument.spreadsheetml.table+xml"/>
  <Override PartName="/xl/worksheets/sheet31.xml" ContentType="application/vnd.openxmlformats-officedocument.spreadsheetml.worksheet+xml"/>
  <Override PartName="/xl/tables/table46.xml" ContentType="application/vnd.openxmlformats-officedocument.spreadsheetml.table+xml"/>
  <Override PartName="/xl/worksheets/sheet32.xml" ContentType="application/vnd.openxmlformats-officedocument.spreadsheetml.worksheet+xml"/>
  <Override PartName="/xl/tables/table47.xml" ContentType="application/vnd.openxmlformats-officedocument.spreadsheetml.table+xml"/>
  <Override PartName="/xl/worksheets/sheet33.xml" ContentType="application/vnd.openxmlformats-officedocument.spreadsheetml.worksheet+xml"/>
  <Override PartName="/xl/tables/table48.xml" ContentType="application/vnd.openxmlformats-officedocument.spreadsheetml.table+xml"/>
  <Override PartName="/xl/worksheets/sheet34.xml" ContentType="application/vnd.openxmlformats-officedocument.spreadsheetml.worksheet+xml"/>
  <Override PartName="/xl/tables/table49.xml" ContentType="application/vnd.openxmlformats-officedocument.spreadsheetml.table+xml"/>
  <Override PartName="/xl/worksheets/sheet35.xml" ContentType="application/vnd.openxmlformats-officedocument.spreadsheetml.worksheet+xml"/>
  <Override PartName="/xl/tables/table50.xml" ContentType="application/vnd.openxmlformats-officedocument.spreadsheetml.table+xml"/>
  <Override PartName="/xl/worksheets/sheet36.xml" ContentType="application/vnd.openxmlformats-officedocument.spreadsheetml.worksheet+xml"/>
  <Override PartName="/xl/tables/table51.xml" ContentType="application/vnd.openxmlformats-officedocument.spreadsheetml.table+xml"/>
  <Override PartName="/xl/worksheets/sheet37.xml" ContentType="application/vnd.openxmlformats-officedocument.spreadsheetml.worksheet+xml"/>
  <Override PartName="/xl/tables/table52.xml" ContentType="application/vnd.openxmlformats-officedocument.spreadsheetml.table+xml"/>
  <Override PartName="/xl/worksheets/sheet38.xml" ContentType="application/vnd.openxmlformats-officedocument.spreadsheetml.worksheet+xml"/>
  <Override PartName="/xl/tables/table53.xml" ContentType="application/vnd.openxmlformats-officedocument.spreadsheetml.table+xml"/>
  <Override PartName="/xl/worksheets/sheet39.xml" ContentType="application/vnd.openxmlformats-officedocument.spreadsheetml.worksheet+xml"/>
  <Override PartName="/xl/tables/table54.xml" ContentType="application/vnd.openxmlformats-officedocument.spreadsheetml.table+xml"/>
  <Override PartName="/xl/worksheets/sheet40.xml" ContentType="application/vnd.openxmlformats-officedocument.spreadsheetml.worksheet+xml"/>
  <Override PartName="/xl/tables/table55.xml" ContentType="application/vnd.openxmlformats-officedocument.spreadsheetml.table+xml"/>
  <Override PartName="/xl/worksheets/sheet41.xml" ContentType="application/vnd.openxmlformats-officedocument.spreadsheetml.worksheet+xml"/>
  <Override PartName="/xl/tables/table56.xml" ContentType="application/vnd.openxmlformats-officedocument.spreadsheetml.table+xml"/>
  <Override PartName="/xl/worksheets/sheet42.xml" ContentType="application/vnd.openxmlformats-officedocument.spreadsheetml.worksheet+xml"/>
  <Override PartName="/xl/tables/table57.xml" ContentType="application/vnd.openxmlformats-officedocument.spreadsheetml.table+xml"/>
  <Override PartName="/xl/worksheets/sheet43.xml" ContentType="application/vnd.openxmlformats-officedocument.spreadsheetml.worksheet+xml"/>
  <Override PartName="/xl/tables/table58.xml" ContentType="application/vnd.openxmlformats-officedocument.spreadsheetml.table+xml"/>
  <Override PartName="/xl/worksheets/sheet44.xml" ContentType="application/vnd.openxmlformats-officedocument.spreadsheetml.worksheet+xml"/>
  <Override PartName="/xl/tables/table59.xml" ContentType="application/vnd.openxmlformats-officedocument.spreadsheetml.table+xml"/>
  <Override PartName="/xl/worksheets/sheet45.xml" ContentType="application/vnd.openxmlformats-officedocument.spreadsheetml.worksheet+xml"/>
  <Override PartName="/xl/tables/table60.xml" ContentType="application/vnd.openxmlformats-officedocument.spreadsheetml.table+xml"/>
  <Override PartName="/xl/worksheets/sheet46.xml" ContentType="application/vnd.openxmlformats-officedocument.spreadsheetml.worksheet+xml"/>
  <Override PartName="/xl/tables/table61.xml" ContentType="application/vnd.openxmlformats-officedocument.spreadsheetml.table+xml"/>
  <Override PartName="/xl/worksheets/sheet47.xml" ContentType="application/vnd.openxmlformats-officedocument.spreadsheetml.worksheet+xml"/>
  <Override PartName="/xl/tables/table62.xml" ContentType="application/vnd.openxmlformats-officedocument.spreadsheetml.table+xml"/>
  <Override PartName="/xl/worksheets/sheet48.xml" ContentType="application/vnd.openxmlformats-officedocument.spreadsheetml.worksheet+xml"/>
  <Override PartName="/xl/tables/table63.xml" ContentType="application/vnd.openxmlformats-officedocument.spreadsheetml.table+xml"/>
  <Override PartName="/xl/worksheets/sheet49.xml" ContentType="application/vnd.openxmlformats-officedocument.spreadsheetml.worksheet+xml"/>
  <Override PartName="/xl/tables/table64.xml" ContentType="application/vnd.openxmlformats-officedocument.spreadsheetml.table+xml"/>
  <Override PartName="/xl/worksheets/sheet50.xml" ContentType="application/vnd.openxmlformats-officedocument.spreadsheetml.worksheet+xml"/>
  <Override PartName="/xl/tables/table65.xml" ContentType="application/vnd.openxmlformats-officedocument.spreadsheetml.table+xml"/>
  <Override PartName="/xl/worksheets/sheet51.xml" ContentType="application/vnd.openxmlformats-officedocument.spreadsheetml.worksheet+xml"/>
  <Override PartName="/xl/tables/table66.xml" ContentType="application/vnd.openxmlformats-officedocument.spreadsheetml.table+xml"/>
  <Override PartName="/xl/worksheets/sheet52.xml" ContentType="application/vnd.openxmlformats-officedocument.spreadsheetml.worksheet+xml"/>
  <Override PartName="/xl/tables/table67.xml" ContentType="application/vnd.openxmlformats-officedocument.spreadsheetml.table+xml"/>
  <Override PartName="/xl/worksheets/sheet53.xml" ContentType="application/vnd.openxmlformats-officedocument.spreadsheetml.worksheet+xml"/>
  <Override PartName="/xl/tables/table68.xml" ContentType="application/vnd.openxmlformats-officedocument.spreadsheetml.table+xml"/>
  <Override PartName="/xl/worksheets/sheet54.xml" ContentType="application/vnd.openxmlformats-officedocument.spreadsheetml.worksheet+xml"/>
  <Override PartName="/xl/tables/table69.xml" ContentType="application/vnd.openxmlformats-officedocument.spreadsheetml.table+xml"/>
  <Override PartName="/xl/worksheets/sheet55.xml" ContentType="application/vnd.openxmlformats-officedocument.spreadsheetml.worksheet+xml"/>
  <Override PartName="/xl/tables/table70.xml" ContentType="application/vnd.openxmlformats-officedocument.spreadsheetml.table+xml"/>
  <Override PartName="/xl/worksheets/sheet56.xml" ContentType="application/vnd.openxmlformats-officedocument.spreadsheetml.worksheet+xml"/>
  <Override PartName="/xl/tables/table71.xml" ContentType="application/vnd.openxmlformats-officedocument.spreadsheetml.table+xml"/>
  <Override PartName="/xl/worksheets/sheet57.xml" ContentType="application/vnd.openxmlformats-officedocument.spreadsheetml.worksheet+xml"/>
  <Override PartName="/xl/worksheets/sheet58.xml" ContentType="application/vnd.openxmlformats-officedocument.spreadsheetml.worksheet+xml"/>
  <Override PartName="/xl/drawings/drawing3.xml" ContentType="application/vnd.openxmlformats-officedocument.drawing+xml"/>
  <Override PartName="/xl/tables/table7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 name="RAW_MetaAds" sheetId="45" state="hidden" r:id="rId45"/>
    <sheet name="RAW_GoogleAnalytics" sheetId="46" state="hidden" r:id="rId46"/>
    <sheet name="RAW_GoogleAds" sheetId="47" state="hidden" r:id="rId47"/>
    <sheet name="RAW_TikTokAds" sheetId="48" state="hidden" r:id="rId48"/>
    <sheet name="RAW_EmailMarketing" sheetId="49" state="hidden" r:id="rId49"/>
    <sheet name="RAW_InfluencerCampaigns" sheetId="50" state="hidden" r:id="rId50"/>
    <sheet name="FACT_MarketingSpend" sheetId="51" state="hidden" r:id="rId51"/>
    <sheet name="FUTURE_AI_Insights" sheetId="52" state="hidden" r:id="rId52"/>
    <sheet name="BI_Insights" sheetId="53" state="hidden" r:id="rId53"/>
    <sheet name="BI_Alerts" sheetId="54" state="hidden" r:id="rId54"/>
    <sheet name="BI_Forecast" sheetId="55" state="hidden" r:id="rId55"/>
    <sheet name="BI_HealthScore" sheetId="56" state="hidden" r:id="rId56"/>
    <sheet name="RPT_ExecutiveBrief" sheetId="57" state="hidden" r:id="rId57"/>
    <sheet name="RPT_Workflow" sheetId="58" state="hidden" r:id="rId58"/>
  </sheets>
  <definedNames>
    <definedName name="FilterDateFrom">'01_Home'!$B$32</definedName>
    <definedName name="FilterDateTo">'01_Home'!$D$32</definedName>
    <definedName name="FilterCollection">'01_Home'!$F$32</definedName>
    <definedName name="FilterSKU">'01_Home'!$H$32</definedName>
    <definedName name="FilterSupplier">'01_Home'!$J$32</definedName>
    <definedName name="FilterLocation">'01_Home'!$L$32</definedName>
    <definedName name="FilterCampaign">'01_Home'!$N$32</definedName>
    <definedName name="OverallDataQualityPct">'14_Data_Quality'!$C$40</definedName>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BusinessHealthScore">'BI_HealthScore'!$C$26</definedName>
    <definedName name="BusinessHealthStatus">'BI_HealthScore'!$C$27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LookupBudgetPeriod">=tbl_LookupBudgetPeriod[Budget Period]</definedName>
    <definedName name="LookupBudgetCategory">=tbl_LookupBudgetCategory[Budget Category]</definedName>
    <definedName name="LookupAlertSeverity">=tbl_LookupAlertSeverity[Alert Severity]</definedName>
    <definedName name="SupplierNameList">=tbl_SupplierMaster[Supplier Name]</definedName>
    <definedName name="POHeaderList">=tbl_POHeader[PO Number]</definedName>
    <definedName name="SKUList">=RAW_Variants[SKU]</definedName>
    <definedName name="CollectionTitleList">=RAW_Collections[Title]</definedName>
    <definedName name="_xlnm.Print_Area" localSheetId="1">'02_Partner_Dashboard'!$A$1:$L$140</definedName>
    <definedName name="_xlnm.Print_Area" localSheetId="2">'03_CEO_Dashboard'!$A$1:$L$140</definedName>
    <definedName name="_xlnm.Print_Area" localSheetId="56">'RPT_ExecutiveBrief'!$A$1:$J$40</definedName>
    <definedName name="_xlnm.Print_Area" localSheetId="57">'RPT_Workflow'!$A$1:$O$80</definedName>
  </definedNames>
  <calcPr calcId="124519" fullCalcOnLoad="1"/>
</workbook>
</file>

<file path=xl/styles.xml><?xml version="1.0" encoding="utf-8"?>
<styleSheet xmlns="http://schemas.openxmlformats.org/spreadsheetml/2006/main">
  <numFmts count="4">
    <numFmt numFmtId="164" formatCode="0.0%"/>
    <numFmt numFmtId="165" formatCode="0&quot; days&quot;"/>
    <numFmt numFmtId="166" formatCode="0.0"/>
    <numFmt numFmtId="167" formatCode="+#,##0;-#,##0;0"/>
  </numFmts>
  <fonts count="35">
    <font>
      <name val="Calibri"/>
      <family val="2"/>
      <color theme="1"/>
      <sz val="11"/>
      <scheme val="minor"/>
    </font>
    <font>
      <name val="Segoe UI"/>
      <b val="1"/>
      <color rgb="00FFFFFF"/>
      <sz val="18"/>
    </font>
    <font>
      <name val="Segoe UI"/>
      <i val="1"/>
      <color rgb="00FFFFFF"/>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C55A11"/>
      <sz val="9"/>
    </font>
    <font>
      <name val="Segoe UI"/>
      <color rgb="00595959"/>
      <sz val="10"/>
    </font>
    <font>
      <name val="Segoe UI"/>
      <i val="1"/>
      <color rgb="00595959"/>
      <sz val="9"/>
    </font>
    <font>
      <name val="Segoe UI"/>
      <color rgb="00595959"/>
      <sz val="8"/>
    </font>
    <font>
      <name val="Segoe UI"/>
      <color rgb="007F7F7F"/>
      <sz val="8"/>
    </font>
    <font>
      <name val="Segoe UI"/>
      <color rgb="00D9D9D9"/>
      <sz val="7"/>
    </font>
    <font>
      <name val="Segoe UI"/>
      <color rgb="007F7F7F"/>
      <sz val="9"/>
    </font>
    <font>
      <name val="Segoe UI"/>
      <color rgb="00595959"/>
      <sz val="9"/>
    </font>
    <font>
      <name val="Segoe UI"/>
      <b val="1"/>
      <color rgb="00FFFFFF"/>
      <sz val="9"/>
    </font>
    <font>
      <name val="Segoe UI"/>
      <b val="1"/>
      <color rgb="00000000"/>
      <sz val="12"/>
    </font>
    <font>
      <name val="Segoe UI"/>
      <i val="1"/>
      <color rgb="00008000"/>
      <sz val="9"/>
    </font>
    <font>
      <name val="Segoe UI"/>
      <i val="1"/>
      <color rgb="00C55A11"/>
      <sz val="9"/>
    </font>
    <font>
      <name val="Segoe UI"/>
      <b val="1"/>
      <color rgb="007F7F7F"/>
      <sz val="9"/>
    </font>
    <font>
      <name val="Segoe UI"/>
      <b val="1"/>
      <color rgb="007F7F7F"/>
      <sz val="14"/>
    </font>
    <font>
      <name val="Segoe UI"/>
      <color rgb="00C55A11"/>
      <sz val="9"/>
    </font>
    <font>
      <name val="Segoe UI"/>
      <color rgb="00008000"/>
      <sz val="9"/>
    </font>
    <font>
      <name val="Segoe UI"/>
      <color rgb="000070C0"/>
      <sz val="9"/>
    </font>
    <font>
      <name val="Segoe UI"/>
      <i val="1"/>
      <color rgb="007F7F7F"/>
      <sz val="9"/>
    </font>
    <font>
      <name val="Segoe UI"/>
      <b val="1"/>
      <color rgb="00595959"/>
      <sz val="9"/>
    </font>
    <font>
      <name val="Segoe UI"/>
      <b val="1"/>
      <color rgb="00000000"/>
      <sz val="20"/>
    </font>
    <font>
      <name val="Segoe UI"/>
      <b val="1"/>
      <color rgb="007F7F7F"/>
      <sz val="11"/>
    </font>
    <font>
      <name val="Segoe UI"/>
      <b val="1"/>
      <color rgb="00FFFFFF"/>
      <sz val="14"/>
    </font>
    <font>
      <name val="Segoe UI"/>
      <color rgb="007F7F7F"/>
      <sz val="10"/>
    </font>
    <font>
      <name val="Segoe UI"/>
      <b val="1"/>
      <color rgb="00000000"/>
      <sz val="24"/>
    </font>
  </fonts>
  <fills count="13">
    <fill>
      <patternFill/>
    </fill>
    <fill>
      <patternFill patternType="gray125"/>
    </fill>
    <fill>
      <patternFill patternType="solid"/>
    </fill>
    <fill>
      <patternFill patternType="solid">
        <fgColor rgb="00404040"/>
      </patternFill>
    </fill>
    <fill>
      <patternFill patternType="solid">
        <fgColor rgb="00FFFFFF"/>
      </patternFill>
    </fill>
    <fill>
      <patternFill patternType="solid">
        <fgColor rgb="00FCEEE3"/>
      </patternFill>
    </fill>
    <fill>
      <patternFill patternType="solid">
        <fgColor rgb="00F2F2F2"/>
      </patternFill>
    </fill>
    <fill>
      <patternFill patternType="solid">
        <fgColor rgb="00595959"/>
      </patternFill>
    </fill>
    <fill>
      <patternFill patternType="solid">
        <fgColor rgb="00375623"/>
      </patternFill>
    </fill>
    <fill>
      <patternFill patternType="solid">
        <fgColor rgb="00EAF3EA"/>
      </patternFill>
    </fill>
    <fill>
      <patternFill patternType="solid">
        <fgColor rgb="00C55A11"/>
      </patternFill>
    </fill>
    <fill>
      <patternFill patternType="solid">
        <fgColor rgb="001F4E78"/>
      </patternFill>
    </fill>
    <fill>
      <patternFill patternType="solid">
        <fgColor rgb="00EAF1F8"/>
      </patternFill>
    </fill>
  </fills>
  <borders count="3">
    <border>
      <left/>
      <right/>
      <top/>
      <bottom/>
      <diagonal/>
    </border>
    <border>
      <left style="thin">
        <color rgb="00BFBFBF"/>
      </left>
      <right style="thin">
        <color rgb="00BFBFBF"/>
      </right>
      <top style="thin">
        <color rgb="00BFBFBF"/>
      </top>
      <bottom style="thin">
        <color rgb="00BFBFBF"/>
      </bottom>
    </border>
    <border>
      <left style="dashed">
        <color rgb="00BFBFBF"/>
      </left>
      <right style="dashed">
        <color rgb="00BFBFBF"/>
      </right>
      <top style="dashed">
        <color rgb="00BFBFBF"/>
      </top>
      <bottom style="dashed">
        <color rgb="00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3" borderId="0" applyAlignment="1" pivotButton="0" quotePrefix="0" xfId="0">
      <alignment horizontal="left" vertical="bottom" indent="1"/>
    </xf>
    <xf numFmtId="0" fontId="0" fillId="3" borderId="0" pivotButton="0" quotePrefix="0" xfId="0"/>
    <xf numFmtId="0" fontId="8" fillId="3" borderId="0" applyAlignment="1" pivotButton="0" quotePrefix="0" xfId="0">
      <alignment horizontal="left" vertical="center" indent="1"/>
    </xf>
    <xf numFmtId="0" fontId="7" fillId="3" borderId="0" applyAlignment="1" pivotButton="0" quotePrefix="0" xfId="0">
      <alignment horizontal="left" vertical="center" indent="1"/>
    </xf>
    <xf numFmtId="0" fontId="8" fillId="3" borderId="0" applyAlignment="1" pivotButton="0" quotePrefix="0" xfId="0">
      <alignment horizontal="left" vertical="center" wrapText="1" indent="1"/>
    </xf>
    <xf numFmtId="0" fontId="9" fillId="0" borderId="0" pivotButton="0" quotePrefix="0" xfId="0"/>
    <xf numFmtId="0" fontId="10" fillId="3" borderId="0" applyAlignment="1" pivotButton="0" quotePrefix="0" xfId="0">
      <alignment horizontal="center" vertical="center" wrapText="1"/>
    </xf>
    <xf numFmtId="0" fontId="4" fillId="0" borderId="0" pivotButton="0" quotePrefix="0" xfId="0"/>
    <xf numFmtId="0" fontId="11" fillId="5" borderId="1" applyProtection="1" pivotButton="0" quotePrefix="0" xfId="0">
      <protection locked="0" hidden="0"/>
    </xf>
    <xf numFmtId="0" fontId="12" fillId="0" borderId="0" pivotButton="0" quotePrefix="0" xfId="0"/>
    <xf numFmtId="0" fontId="13" fillId="0" borderId="0" pivotButton="0" quotePrefix="0" xfId="0"/>
    <xf numFmtId="0" fontId="13" fillId="6" borderId="0" applyAlignment="1" pivotButton="0" quotePrefix="0" xfId="0">
      <alignment horizontal="left" vertical="center" indent="1"/>
    </xf>
    <xf numFmtId="3" fontId="7" fillId="3" borderId="0" applyAlignment="1" pivotButton="0" quotePrefix="0" xfId="0">
      <alignment horizontal="left" vertical="center" indent="1"/>
    </xf>
    <xf numFmtId="164" fontId="7" fillId="3" borderId="0" applyAlignment="1" pivotButton="0" quotePrefix="0" xfId="0">
      <alignment horizontal="left" vertical="center" indent="1"/>
    </xf>
    <xf numFmtId="0" fontId="5" fillId="0" borderId="0" pivotButton="0" quotePrefix="0" xfId="0"/>
    <xf numFmtId="49" fontId="14" fillId="0" borderId="0" pivotButton="0" quotePrefix="0" xfId="0"/>
    <xf numFmtId="3" fontId="15" fillId="0" borderId="0" pivotButton="0" quotePrefix="0" xfId="0"/>
    <xf numFmtId="0" fontId="16" fillId="0" borderId="0" pivotButton="0" quotePrefix="0" xfId="0"/>
    <xf numFmtId="0" fontId="17" fillId="0" borderId="0" pivotButton="0" quotePrefix="0" xfId="0"/>
    <xf numFmtId="3" fontId="17" fillId="0" borderId="0" pivotButton="0" quotePrefix="0" xfId="0"/>
    <xf numFmtId="0" fontId="18" fillId="0" borderId="0" applyAlignment="1" pivotButton="0" quotePrefix="0" xfId="0">
      <alignment vertical="top" wrapText="1"/>
    </xf>
    <xf numFmtId="2" fontId="7" fillId="3" borderId="0" applyAlignment="1" pivotButton="0" quotePrefix="0" xfId="0">
      <alignment horizontal="left" vertical="center" indent="1"/>
    </xf>
    <xf numFmtId="1" fontId="7" fillId="3" borderId="0" applyAlignment="1" pivotButton="0" quotePrefix="0" xfId="0">
      <alignment horizontal="left" vertical="center" indent="1"/>
    </xf>
    <xf numFmtId="0" fontId="19" fillId="7" borderId="1" pivotButton="0" quotePrefix="0" xfId="0"/>
    <xf numFmtId="0" fontId="17" fillId="6" borderId="1" pivotButton="0" quotePrefix="0" xfId="0"/>
    <xf numFmtId="3" fontId="17" fillId="6" borderId="1" pivotButton="0" quotePrefix="0" xfId="0"/>
    <xf numFmtId="0" fontId="13" fillId="6" borderId="2" applyAlignment="1" pivotButton="0" quotePrefix="0" xfId="0">
      <alignment horizontal="center" vertical="center" wrapText="1"/>
    </xf>
    <xf numFmtId="0" fontId="0" fillId="6" borderId="2" pivotButton="0" quotePrefix="0" xfId="0"/>
    <xf numFmtId="0" fontId="20" fillId="0" borderId="0" pivotButton="0" quotePrefix="0" xfId="0"/>
    <xf numFmtId="0" fontId="19" fillId="8" borderId="1" applyAlignment="1" pivotButton="0" quotePrefix="0" xfId="0">
      <alignment horizontal="left" vertical="center" wrapText="1"/>
    </xf>
    <xf numFmtId="0" fontId="21" fillId="9" borderId="1" applyProtection="1" pivotButton="0" quotePrefix="0" xfId="0">
      <protection locked="0" hidden="0"/>
    </xf>
    <xf numFmtId="4" fontId="17" fillId="6" borderId="1" pivotButton="0" quotePrefix="0" xfId="0"/>
    <xf numFmtId="164" fontId="17" fillId="6" borderId="1" pivotButton="0" quotePrefix="0" xfId="0"/>
    <xf numFmtId="165" fontId="7" fillId="3" borderId="0" applyAlignment="1" pivotButton="0" quotePrefix="0" xfId="0">
      <alignment horizontal="left" vertical="center" indent="1"/>
    </xf>
    <xf numFmtId="0" fontId="19" fillId="10" borderId="1" applyAlignment="1" pivotButton="0" quotePrefix="0" xfId="0">
      <alignment horizontal="left" vertical="center" wrapText="1"/>
    </xf>
    <xf numFmtId="0" fontId="22" fillId="5" borderId="1" pivotButton="0" quotePrefix="0" xfId="0"/>
    <xf numFmtId="0" fontId="19" fillId="7" borderId="1" applyAlignment="1" pivotButton="0" quotePrefix="0" xfId="0">
      <alignment horizontal="left" vertical="center" wrapText="1"/>
    </xf>
    <xf numFmtId="0" fontId="5" fillId="6" borderId="1" pivotButton="0" quotePrefix="0" xfId="0"/>
    <xf numFmtId="0" fontId="23" fillId="6" borderId="1" pivotButton="0" quotePrefix="0" xfId="0"/>
    <xf numFmtId="0" fontId="23" fillId="0" borderId="0" pivotButton="0" quotePrefix="0" xfId="0"/>
    <xf numFmtId="164" fontId="24" fillId="0" borderId="0" pivotButton="0" quotePrefix="0" xfId="0"/>
    <xf numFmtId="0" fontId="19" fillId="10" borderId="1" pivotButton="0" quotePrefix="0" xfId="0"/>
    <xf numFmtId="0" fontId="18" fillId="6" borderId="1" pivotButton="0" quotePrefix="0" xfId="0"/>
    <xf numFmtId="0" fontId="25" fillId="5" borderId="1" applyProtection="1" pivotButton="0" quotePrefix="0" xfId="0">
      <protection locked="0" hidden="0"/>
    </xf>
    <xf numFmtId="0" fontId="26" fillId="9" borderId="1" applyProtection="1" pivotButton="0" quotePrefix="0" xfId="0">
      <protection locked="0" hidden="0"/>
    </xf>
    <xf numFmtId="0" fontId="19" fillId="11" borderId="1" applyAlignment="1" pivotButton="0" quotePrefix="0" xfId="0">
      <alignment horizontal="left" vertical="center" wrapText="1"/>
    </xf>
    <xf numFmtId="0" fontId="27" fillId="12" borderId="1" pivotButton="0" quotePrefix="0" xfId="0"/>
    <xf numFmtId="0" fontId="28" fillId="6" borderId="1" pivotButton="0" quotePrefix="0" xfId="0"/>
    <xf numFmtId="0" fontId="29" fillId="0" borderId="0" pivotButton="0" quotePrefix="0" xfId="0"/>
    <xf numFmtId="0" fontId="17" fillId="0" borderId="0" applyAlignment="1" pivotButton="0" quotePrefix="0" xfId="0">
      <alignment wrapText="1"/>
    </xf>
    <xf numFmtId="3" fontId="23" fillId="0" borderId="0" pivotButton="0" quotePrefix="0" xfId="0"/>
    <xf numFmtId="166" fontId="23" fillId="0" borderId="0" pivotButton="0" quotePrefix="0" xfId="0"/>
    <xf numFmtId="166" fontId="17" fillId="0" borderId="0" pivotButton="0" quotePrefix="0" xfId="0"/>
    <xf numFmtId="166" fontId="30" fillId="0" borderId="0" pivotButton="0" quotePrefix="0" xfId="0"/>
    <xf numFmtId="0" fontId="31" fillId="0" borderId="0" pivotButton="0" quotePrefix="0" xfId="0"/>
    <xf numFmtId="3" fontId="32" fillId="3" borderId="0" applyAlignment="1" pivotButton="0" quotePrefix="0" xfId="0">
      <alignment horizontal="left" vertical="center" indent="1"/>
    </xf>
    <xf numFmtId="164" fontId="32" fillId="3" borderId="0" applyAlignment="1" pivotButton="0" quotePrefix="0" xfId="0">
      <alignment horizontal="left" vertical="center" indent="1"/>
    </xf>
    <xf numFmtId="167" fontId="24" fillId="0" borderId="0" pivotButton="0" quotePrefix="0" xfId="0"/>
    <xf numFmtId="0" fontId="33" fillId="0" borderId="0" pivotButton="0" quotePrefix="0" xfId="0"/>
    <xf numFmtId="0" fontId="18" fillId="0" borderId="0" pivotButton="0" quotePrefix="0" xfId="0"/>
    <xf numFmtId="166" fontId="34" fillId="0" borderId="0" pivotButton="0" quotePrefix="0" xfId="0"/>
    <xf numFmtId="0" fontId="2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'02_Partner_Dashboard'!$C$19:$N$19</f>
            </numRef>
          </cat>
          <val>
            <numRef>
              <f>'02_Partner_Dashboard'!$C$20</f>
            </numRef>
          </val>
          <smooth val="0"/>
        </ser>
        <ser>
          <idx val="1"/>
          <order val="1"/>
          <spPr>
            <a:ln>
              <a:prstDash val="solid"/>
            </a:ln>
          </spPr>
          <marker>
            <symbol val="none"/>
            <spPr>
              <a:ln>
                <a:prstDash val="solid"/>
              </a:ln>
            </spPr>
          </marker>
          <cat>
            <numRef>
              <f>'02_Partner_Dashboard'!$C$19:$N$19</f>
            </numRef>
          </cat>
          <val>
            <numRef>
              <f>'02_Partner_Dashboard'!$D$20</f>
            </numRef>
          </val>
        </ser>
        <ser>
          <idx val="2"/>
          <order val="2"/>
          <spPr>
            <a:ln>
              <a:prstDash val="solid"/>
            </a:ln>
          </spPr>
          <marker>
            <symbol val="none"/>
            <spPr>
              <a:ln>
                <a:prstDash val="solid"/>
              </a:ln>
            </spPr>
          </marker>
          <cat>
            <numRef>
              <f>'02_Partner_Dashboard'!$C$19:$N$19</f>
            </numRef>
          </cat>
          <val>
            <numRef>
              <f>'02_Partner_Dashboard'!$E$20</f>
            </numRef>
          </val>
        </ser>
        <ser>
          <idx val="3"/>
          <order val="3"/>
          <spPr>
            <a:ln>
              <a:prstDash val="solid"/>
            </a:ln>
          </spPr>
          <marker>
            <symbol val="none"/>
            <spPr>
              <a:ln>
                <a:prstDash val="solid"/>
              </a:ln>
            </spPr>
          </marker>
          <cat>
            <numRef>
              <f>'02_Partner_Dashboard'!$C$19:$N$19</f>
            </numRef>
          </cat>
          <val>
            <numRef>
              <f>'02_Partner_Dashboard'!$F$20</f>
            </numRef>
          </val>
        </ser>
        <ser>
          <idx val="4"/>
          <order val="4"/>
          <spPr>
            <a:ln>
              <a:prstDash val="solid"/>
            </a:ln>
          </spPr>
          <marker>
            <symbol val="none"/>
            <spPr>
              <a:ln>
                <a:prstDash val="solid"/>
              </a:ln>
            </spPr>
          </marker>
          <cat>
            <numRef>
              <f>'02_Partner_Dashboard'!$C$19:$N$19</f>
            </numRef>
          </cat>
          <val>
            <numRef>
              <f>'02_Partner_Dashboard'!$G$20</f>
            </numRef>
          </val>
        </ser>
        <ser>
          <idx val="5"/>
          <order val="5"/>
          <spPr>
            <a:ln>
              <a:prstDash val="solid"/>
            </a:ln>
          </spPr>
          <marker>
            <symbol val="none"/>
            <spPr>
              <a:ln>
                <a:prstDash val="solid"/>
              </a:ln>
            </spPr>
          </marker>
          <cat>
            <numRef>
              <f>'02_Partner_Dashboard'!$C$19:$N$19</f>
            </numRef>
          </cat>
          <val>
            <numRef>
              <f>'02_Partner_Dashboard'!$H$20</f>
            </numRef>
          </val>
        </ser>
        <ser>
          <idx val="6"/>
          <order val="6"/>
          <spPr>
            <a:ln>
              <a:prstDash val="solid"/>
            </a:ln>
          </spPr>
          <marker>
            <symbol val="none"/>
            <spPr>
              <a:ln>
                <a:prstDash val="solid"/>
              </a:ln>
            </spPr>
          </marker>
          <cat>
            <numRef>
              <f>'02_Partner_Dashboard'!$C$19:$N$19</f>
            </numRef>
          </cat>
          <val>
            <numRef>
              <f>'02_Partner_Dashboard'!$I$20</f>
            </numRef>
          </val>
        </ser>
        <ser>
          <idx val="7"/>
          <order val="7"/>
          <spPr>
            <a:ln>
              <a:prstDash val="solid"/>
            </a:ln>
          </spPr>
          <marker>
            <symbol val="none"/>
            <spPr>
              <a:ln>
                <a:prstDash val="solid"/>
              </a:ln>
            </spPr>
          </marker>
          <cat>
            <numRef>
              <f>'02_Partner_Dashboard'!$C$19:$N$19</f>
            </numRef>
          </cat>
          <val>
            <numRef>
              <f>'02_Partner_Dashboard'!$J$20</f>
            </numRef>
          </val>
        </ser>
        <ser>
          <idx val="8"/>
          <order val="8"/>
          <spPr>
            <a:ln>
              <a:prstDash val="solid"/>
            </a:ln>
          </spPr>
          <marker>
            <symbol val="none"/>
            <spPr>
              <a:ln>
                <a:prstDash val="solid"/>
              </a:ln>
            </spPr>
          </marker>
          <cat>
            <numRef>
              <f>'02_Partner_Dashboard'!$C$19:$N$19</f>
            </numRef>
          </cat>
          <val>
            <numRef>
              <f>'02_Partner_Dashboard'!$K$20</f>
            </numRef>
          </val>
        </ser>
        <ser>
          <idx val="9"/>
          <order val="9"/>
          <spPr>
            <a:ln>
              <a:prstDash val="solid"/>
            </a:ln>
          </spPr>
          <marker>
            <symbol val="none"/>
            <spPr>
              <a:ln>
                <a:prstDash val="solid"/>
              </a:ln>
            </spPr>
          </marker>
          <cat>
            <numRef>
              <f>'02_Partner_Dashboard'!$C$19:$N$19</f>
            </numRef>
          </cat>
          <val>
            <numRef>
              <f>'02_Partner_Dashboard'!$L$20</f>
            </numRef>
          </val>
        </ser>
        <ser>
          <idx val="10"/>
          <order val="10"/>
          <spPr>
            <a:ln>
              <a:prstDash val="solid"/>
            </a:ln>
          </spPr>
          <marker>
            <symbol val="none"/>
            <spPr>
              <a:ln>
                <a:prstDash val="solid"/>
              </a:ln>
            </spPr>
          </marker>
          <cat>
            <numRef>
              <f>'02_Partner_Dashboard'!$C$19:$N$19</f>
            </numRef>
          </cat>
          <val>
            <numRef>
              <f>'02_Partner_Dashboard'!$M$20</f>
            </numRef>
          </val>
        </ser>
        <ser>
          <idx val="11"/>
          <order val="11"/>
          <spPr>
            <a:ln>
              <a:prstDash val="solid"/>
            </a:ln>
          </spPr>
          <marker>
            <symbol val="none"/>
            <spPr>
              <a:ln>
                <a:prstDash val="solid"/>
              </a:ln>
            </spPr>
          </marker>
          <cat>
            <numRef>
              <f>'02_Partner_Dashboard'!$C$19:$N$19</f>
            </numRef>
          </cat>
          <val>
            <numRef>
              <f>'02_Partner_Dashboard'!$N$20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Rows Loaded per Refresh</a:t>
            </a:r>
          </a:p>
        </rich>
      </tx>
    </title>
    <plotArea>
      <lineChart>
        <grouping val="standard"/>
        <ser>
          <idx val="0"/>
          <order val="0"/>
          <spPr>
            <a:ln w="20000">
              <a:solidFill>
                <a:srgbClr val="000000"/>
              </a:solidFill>
              <a:prstDash val="solid"/>
            </a:ln>
          </spPr>
          <marker>
            <symbol val="none"/>
            <spPr>
              <a:ln>
                <a:prstDash val="solid"/>
              </a:ln>
            </spPr>
          </marker>
          <cat>
            <numRef>
              <f>'LOG_RefreshHistory'!$C$12:$C$500</f>
            </numRef>
          </cat>
          <val>
            <numRef>
              <f>'LOG_RefreshHistory'!$E$12:$E$500</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Monthly Purchasing — Trailing 12 Months</a:t>
            </a:r>
          </a:p>
        </rich>
      </tx>
    </title>
    <plotArea>
      <lineChart>
        <grouping val="standard"/>
        <ser>
          <idx val="0"/>
          <order val="0"/>
          <spPr>
            <a:ln w="20000">
              <a:solidFill>
                <a:srgbClr val="000000"/>
              </a:solidFill>
              <a:prstDash val="solid"/>
            </a:ln>
          </spPr>
          <marker>
            <symbol val="none"/>
            <spPr>
              <a:ln>
                <a:prstDash val="solid"/>
              </a:ln>
            </spPr>
          </marker>
          <cat>
            <numRef>
              <f>'RPT_Workflow'!$C$35:$N$35</f>
            </numRef>
          </cat>
          <val>
            <numRef>
              <f>'RPT_Workflow'!$C$36</f>
            </numRef>
          </val>
          <smooth val="0"/>
        </ser>
        <ser>
          <idx val="1"/>
          <order val="1"/>
          <spPr>
            <a:ln>
              <a:prstDash val="solid"/>
            </a:ln>
          </spPr>
          <marker>
            <symbol val="none"/>
            <spPr>
              <a:ln>
                <a:prstDash val="solid"/>
              </a:ln>
            </spPr>
          </marker>
          <cat>
            <numRef>
              <f>'RPT_Workflow'!$C$35:$N$35</f>
            </numRef>
          </cat>
          <val>
            <numRef>
              <f>'RPT_Workflow'!$D$36</f>
            </numRef>
          </val>
        </ser>
        <ser>
          <idx val="2"/>
          <order val="2"/>
          <spPr>
            <a:ln>
              <a:prstDash val="solid"/>
            </a:ln>
          </spPr>
          <marker>
            <symbol val="none"/>
            <spPr>
              <a:ln>
                <a:prstDash val="solid"/>
              </a:ln>
            </spPr>
          </marker>
          <cat>
            <numRef>
              <f>'RPT_Workflow'!$C$35:$N$35</f>
            </numRef>
          </cat>
          <val>
            <numRef>
              <f>'RPT_Workflow'!$E$36</f>
            </numRef>
          </val>
        </ser>
        <ser>
          <idx val="3"/>
          <order val="3"/>
          <spPr>
            <a:ln>
              <a:prstDash val="solid"/>
            </a:ln>
          </spPr>
          <marker>
            <symbol val="none"/>
            <spPr>
              <a:ln>
                <a:prstDash val="solid"/>
              </a:ln>
            </spPr>
          </marker>
          <cat>
            <numRef>
              <f>'RPT_Workflow'!$C$35:$N$35</f>
            </numRef>
          </cat>
          <val>
            <numRef>
              <f>'RPT_Workflow'!$F$36</f>
            </numRef>
          </val>
        </ser>
        <ser>
          <idx val="4"/>
          <order val="4"/>
          <spPr>
            <a:ln>
              <a:prstDash val="solid"/>
            </a:ln>
          </spPr>
          <marker>
            <symbol val="none"/>
            <spPr>
              <a:ln>
                <a:prstDash val="solid"/>
              </a:ln>
            </spPr>
          </marker>
          <cat>
            <numRef>
              <f>'RPT_Workflow'!$C$35:$N$35</f>
            </numRef>
          </cat>
          <val>
            <numRef>
              <f>'RPT_Workflow'!$G$36</f>
            </numRef>
          </val>
        </ser>
        <ser>
          <idx val="5"/>
          <order val="5"/>
          <spPr>
            <a:ln>
              <a:prstDash val="solid"/>
            </a:ln>
          </spPr>
          <marker>
            <symbol val="none"/>
            <spPr>
              <a:ln>
                <a:prstDash val="solid"/>
              </a:ln>
            </spPr>
          </marker>
          <cat>
            <numRef>
              <f>'RPT_Workflow'!$C$35:$N$35</f>
            </numRef>
          </cat>
          <val>
            <numRef>
              <f>'RPT_Workflow'!$H$36</f>
            </numRef>
          </val>
        </ser>
        <ser>
          <idx val="6"/>
          <order val="6"/>
          <spPr>
            <a:ln>
              <a:prstDash val="solid"/>
            </a:ln>
          </spPr>
          <marker>
            <symbol val="none"/>
            <spPr>
              <a:ln>
                <a:prstDash val="solid"/>
              </a:ln>
            </spPr>
          </marker>
          <cat>
            <numRef>
              <f>'RPT_Workflow'!$C$35:$N$35</f>
            </numRef>
          </cat>
          <val>
            <numRef>
              <f>'RPT_Workflow'!$I$36</f>
            </numRef>
          </val>
        </ser>
        <ser>
          <idx val="7"/>
          <order val="7"/>
          <spPr>
            <a:ln>
              <a:prstDash val="solid"/>
            </a:ln>
          </spPr>
          <marker>
            <symbol val="none"/>
            <spPr>
              <a:ln>
                <a:prstDash val="solid"/>
              </a:ln>
            </spPr>
          </marker>
          <cat>
            <numRef>
              <f>'RPT_Workflow'!$C$35:$N$35</f>
            </numRef>
          </cat>
          <val>
            <numRef>
              <f>'RPT_Workflow'!$J$36</f>
            </numRef>
          </val>
        </ser>
        <ser>
          <idx val="8"/>
          <order val="8"/>
          <spPr>
            <a:ln>
              <a:prstDash val="solid"/>
            </a:ln>
          </spPr>
          <marker>
            <symbol val="none"/>
            <spPr>
              <a:ln>
                <a:prstDash val="solid"/>
              </a:ln>
            </spPr>
          </marker>
          <cat>
            <numRef>
              <f>'RPT_Workflow'!$C$35:$N$35</f>
            </numRef>
          </cat>
          <val>
            <numRef>
              <f>'RPT_Workflow'!$K$36</f>
            </numRef>
          </val>
        </ser>
        <ser>
          <idx val="9"/>
          <order val="9"/>
          <spPr>
            <a:ln>
              <a:prstDash val="solid"/>
            </a:ln>
          </spPr>
          <marker>
            <symbol val="none"/>
            <spPr>
              <a:ln>
                <a:prstDash val="solid"/>
              </a:ln>
            </spPr>
          </marker>
          <cat>
            <numRef>
              <f>'RPT_Workflow'!$C$35:$N$35</f>
            </numRef>
          </cat>
          <val>
            <numRef>
              <f>'RPT_Workflow'!$L$36</f>
            </numRef>
          </val>
        </ser>
        <ser>
          <idx val="10"/>
          <order val="10"/>
          <spPr>
            <a:ln>
              <a:prstDash val="solid"/>
            </a:ln>
          </spPr>
          <marker>
            <symbol val="none"/>
            <spPr>
              <a:ln>
                <a:prstDash val="solid"/>
              </a:ln>
            </spPr>
          </marker>
          <cat>
            <numRef>
              <f>'RPT_Workflow'!$C$35:$N$35</f>
            </numRef>
          </cat>
          <val>
            <numRef>
              <f>'RPT_Workflow'!$M$36</f>
            </numRef>
          </val>
        </ser>
        <ser>
          <idx val="11"/>
          <order val="11"/>
          <spPr>
            <a:ln>
              <a:prstDash val="solid"/>
            </a:ln>
          </spPr>
          <marker>
            <symbol val="none"/>
            <spPr>
              <a:ln>
                <a:prstDash val="solid"/>
              </a:ln>
            </spPr>
          </marker>
          <cat>
            <numRef>
              <f>'RPT_Workflow'!$C$35:$N$35</f>
            </numRef>
          </cat>
          <val>
            <numRef>
              <f>'RPT_Workflow'!$N$36</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ProductCostMaster" displayName="tbl_ProductCostMaster" ref="B44:S45" headerRowCount="1">
  <autoFilter ref="B44:S45"/>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Budget" displayName="tbl_Budget" ref="B44:G45" headerRowCount="1">
  <autoFilter ref="B44:G45"/>
  <tableColumns count="6">
    <tableColumn id="2" name="Budget ID"/>
    <tableColumn id="3" name="Year"/>
    <tableColumn id="4" name="Month"/>
    <tableColumn id="5" name="Category"/>
    <tableColumn id="6" name="Budget Amount"/>
    <tableColumn id="7" name="Notes"/>
  </tableColumns>
  <tableStyleInfo name="TableStyleLight1" showFirstColumn="0" showLastColumn="0" showRowStripes="0" showColumnStripes="0"/>
</table>
</file>

<file path=xl/tables/table3.xml><?xml version="1.0" encoding="utf-8"?>
<table xmlns="http://schemas.openxmlformats.org/spreadsheetml/2006/main" id="3" name="tbl_ManualExpenses" displayName="tbl_ManualExpenses" ref="B17:R18" headerRowCount="1">
  <autoFilter ref="B17:R18"/>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4.xml><?xml version="1.0" encoding="utf-8"?>
<table xmlns="http://schemas.openxmlformats.org/spreadsheetml/2006/main" id="4" name="tbl_CapitalTransactions" displayName="tbl_CapitalTransactions" ref="B17:I18" headerRowCount="1">
  <autoFilter ref="B17:I18"/>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5.xml><?xml version="1.0" encoding="utf-8"?>
<table xmlns="http://schemas.openxmlformats.org/spreadsheetml/2006/main" id="5" name="tbl_SupplierMaster" displayName="tbl_SupplierMaster" ref="B17:K18" headerRowCount="1">
  <autoFilter ref="B17:K18"/>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6.xml><?xml version="1.0" encoding="utf-8"?>
<table xmlns="http://schemas.openxmlformats.org/spreadsheetml/2006/main" id="6" name="tbl_POHeader" displayName="tbl_POHeader" ref="B22:H23" headerRowCount="1">
  <autoFilter ref="B22:H23"/>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7.xml><?xml version="1.0" encoding="utf-8"?>
<table xmlns="http://schemas.openxmlformats.org/spreadsheetml/2006/main" id="7" name="tbl_POLines" displayName="tbl_POLines" ref="B27:F28" headerRowCount="1">
  <autoFilter ref="B27:F28"/>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8.xml><?xml version="1.0" encoding="utf-8"?>
<table xmlns="http://schemas.openxmlformats.org/spreadsheetml/2006/main" id="8" name="tbl_GoodsReceipt" displayName="tbl_GoodsReceipt" ref="B32:J33" headerRowCount="1">
  <autoFilter ref="B32:J33"/>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9.xml><?xml version="1.0" encoding="utf-8"?>
<table xmlns="http://schemas.openxmlformats.org/spreadsheetml/2006/main" id="9"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10.xml><?xml version="1.0" encoding="utf-8"?>
<table xmlns="http://schemas.openxmlformats.org/spreadsheetml/2006/main" id="10"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1.xml><?xml version="1.0" encoding="utf-8"?>
<table xmlns="http://schemas.openxmlformats.org/spreadsheetml/2006/main" id="11" name="tbl_DataQualityChecks" displayName="tbl_DataQualityChecks" ref="B27:F28" headerRowCount="1">
  <autoFilter ref="B27:F28"/>
  <tableColumns count="5">
    <tableColumn id="2" name="Check Name"/>
    <tableColumn id="3" name="Metric"/>
    <tableColumn id="4" name="Result"/>
    <tableColumn id="5" name="Status"/>
    <tableColumn id="6" name="Notes"/>
  </tableColumns>
  <tableStyleInfo name="TableStyleLight1" showFirstColumn="0" showLastColumn="0" showRowStripes="0" showColumnStripes="0"/>
</table>
</file>

<file path=xl/tables/table12.xml><?xml version="1.0" encoding="utf-8"?>
<table xmlns="http://schemas.openxmlformats.org/spreadsheetml/2006/main" id="12"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3.xml><?xml version="1.0" encoding="utf-8"?>
<table xmlns="http://schemas.openxmlformats.org/spreadsheetml/2006/main" id="13" name="tbl_VersionLog" displayName="tbl_VersionLog" ref="B36:E44" headerRowCount="1">
  <autoFilter ref="B36:E44"/>
  <tableColumns count="4">
    <tableColumn id="2" name="Version"/>
    <tableColumn id="3" name="Date"/>
    <tableColumn id="4" name="Phase"/>
    <tableColumn id="5" name="Summary"/>
  </tableColumns>
  <tableStyleInfo name="TableStyleLight1" showFirstColumn="0" showLastColumn="0" showRowStripes="0" showColumnStripes="0"/>
</table>
</file>

<file path=xl/tables/table14.xml><?xml version="1.0" encoding="utf-8"?>
<table xmlns="http://schemas.openxmlformats.org/spreadsheetml/2006/main" id="14" name="tbl_LookupExpenseCategory" displayName="tbl_LookupExpenseCategory" ref="B48:B58" headerRowCount="1">
  <autoFilter ref="B48:B58"/>
  <tableColumns count="1">
    <tableColumn id="2" name="Expense Category"/>
  </tableColumns>
  <tableStyleInfo name="TableStyleLight1" showFirstColumn="0" showLastColumn="0" showRowStripes="0" showColumnStripes="0"/>
</table>
</file>

<file path=xl/tables/table15.xml><?xml version="1.0" encoding="utf-8"?>
<table xmlns="http://schemas.openxmlformats.org/spreadsheetml/2006/main" id="15" name="tbl_LookupExpenseSubcategory" displayName="tbl_LookupExpenseSubcategory" ref="B60:B72" headerRowCount="1">
  <autoFilter ref="B60:B72"/>
  <tableColumns count="1">
    <tableColumn id="2" name="Expense Subcategory"/>
  </tableColumns>
  <tableStyleInfo name="TableStyleLight1" showFirstColumn="0" showLastColumn="0" showRowStripes="0" showColumnStripes="0"/>
</table>
</file>

<file path=xl/tables/table16.xml><?xml version="1.0" encoding="utf-8"?>
<table xmlns="http://schemas.openxmlformats.org/spreadsheetml/2006/main" id="16" name="tbl_LookupCostCenter" displayName="tbl_LookupCostCenter" ref="B74:B79" headerRowCount="1">
  <autoFilter ref="B74:B79"/>
  <tableColumns count="1">
    <tableColumn id="2" name="Cost Center"/>
  </tableColumns>
  <tableStyleInfo name="TableStyleLight1" showFirstColumn="0" showLastColumn="0" showRowStripes="0" showColumnStripes="0"/>
</table>
</file>

<file path=xl/tables/table17.xml><?xml version="1.0" encoding="utf-8"?>
<table xmlns="http://schemas.openxmlformats.org/spreadsheetml/2006/main" id="17" name="tbl_LookupPaymentMethod" displayName="tbl_LookupPaymentMethod" ref="B81:B87" headerRowCount="1">
  <autoFilter ref="B81:B87"/>
  <tableColumns count="1">
    <tableColumn id="2" name="Payment Method"/>
  </tableColumns>
  <tableStyleInfo name="TableStyleLight1" showFirstColumn="0" showLastColumn="0" showRowStripes="0" showColumnStripes="0"/>
</table>
</file>

<file path=xl/tables/table18.xml><?xml version="1.0" encoding="utf-8"?>
<table xmlns="http://schemas.openxmlformats.org/spreadsheetml/2006/main" id="18" name="tbl_LookupCurrency" displayName="tbl_LookupCurrency" ref="B89:B93" headerRowCount="1">
  <autoFilter ref="B89:B93"/>
  <tableColumns count="1">
    <tableColumn id="2" name="Currency"/>
  </tableColumns>
  <tableStyleInfo name="TableStyleLight1" showFirstColumn="0" showLastColumn="0" showRowStripes="0" showColumnStripes="0"/>
</table>
</file>

<file path=xl/tables/table19.xml><?xml version="1.0" encoding="utf-8"?>
<table xmlns="http://schemas.openxmlformats.org/spreadsheetml/2006/main" id="19" name="tbl_LookupSupplierType" displayName="tbl_LookupSupplierType" ref="B95:B103" headerRowCount="1">
  <autoFilter ref="B95:B103"/>
  <tableColumns count="1">
    <tableColumn id="2" name="Supplier Type"/>
  </tableColumns>
  <tableStyleInfo name="TableStyleLight1" showFirstColumn="0" showLastColumn="0" showRowStripes="0" showColumnStripes="0"/>
</table>
</file>

<file path=xl/tables/table20.xml><?xml version="1.0" encoding="utf-8"?>
<table xmlns="http://schemas.openxmlformats.org/spreadsheetml/2006/main" id="20" name="tbl_LookupSupplierStatus" displayName="tbl_LookupSupplierStatus" ref="B105:B108" headerRowCount="1">
  <autoFilter ref="B105:B108"/>
  <tableColumns count="1">
    <tableColumn id="2" name="Supplier Status"/>
  </tableColumns>
  <tableStyleInfo name="TableStyleLight1" showFirstColumn="0" showLastColumn="0" showRowStripes="0" showColumnStripes="0"/>
</table>
</file>

<file path=xl/tables/table21.xml><?xml version="1.0" encoding="utf-8"?>
<table xmlns="http://schemas.openxmlformats.org/spreadsheetml/2006/main" id="21" name="tbl_LookupCapitalTransactionType" displayName="tbl_LookupCapitalTransactionType" ref="B110:B112" headerRowCount="1">
  <autoFilter ref="B110:B112"/>
  <tableColumns count="1">
    <tableColumn id="2" name="Capital Transaction Type"/>
  </tableColumns>
  <tableStyleInfo name="TableStyleLight1" showFirstColumn="0" showLastColumn="0" showRowStripes="0" showColumnStripes="0"/>
</table>
</file>

<file path=xl/tables/table22.xml><?xml version="1.0" encoding="utf-8"?>
<table xmlns="http://schemas.openxmlformats.org/spreadsheetml/2006/main" id="22" name="tbl_LookupPOStatus" displayName="tbl_LookupPOStatus" ref="B114:B121" headerRowCount="1">
  <autoFilter ref="B114:B121"/>
  <tableColumns count="1">
    <tableColumn id="2" name="PO Status"/>
  </tableColumns>
  <tableStyleInfo name="TableStyleLight1" showFirstColumn="0" showLastColumn="0" showRowStripes="0" showColumnStripes="0"/>
</table>
</file>

<file path=xl/tables/table23.xml><?xml version="1.0" encoding="utf-8"?>
<table xmlns="http://schemas.openxmlformats.org/spreadsheetml/2006/main" id="23" name="tbl_LookupWarehouse" displayName="tbl_LookupWarehouse" ref="B123:B126" headerRowCount="1">
  <autoFilter ref="B123:B126"/>
  <tableColumns count="1">
    <tableColumn id="2" name="Warehouse"/>
  </tableColumns>
  <tableStyleInfo name="TableStyleLight1" showFirstColumn="0" showLastColumn="0" showRowStripes="0" showColumnStripes="0"/>
</table>
</file>

<file path=xl/tables/table24.xml><?xml version="1.0" encoding="utf-8"?>
<table xmlns="http://schemas.openxmlformats.org/spreadsheetml/2006/main" id="24" name="tbl_LookupOwner" displayName="tbl_LookupOwner" ref="B128:B129" headerRowCount="1">
  <autoFilter ref="B128:B129"/>
  <tableColumns count="1">
    <tableColumn id="2" name="Owner"/>
  </tableColumns>
  <tableStyleInfo name="TableStyleLight1" showFirstColumn="0" showLastColumn="0" showRowStripes="0" showColumnStripes="0"/>
</table>
</file>

<file path=xl/tables/table25.xml><?xml version="1.0" encoding="utf-8"?>
<table xmlns="http://schemas.openxmlformats.org/spreadsheetml/2006/main" id="25" name="tbl_LookupBudgetPeriod" displayName="tbl_LookupBudgetPeriod" ref="B131:B133" headerRowCount="1">
  <autoFilter ref="B131:B133"/>
  <tableColumns count="1">
    <tableColumn id="2" name="Budget Period"/>
  </tableColumns>
  <tableStyleInfo name="TableStyleLight1" showFirstColumn="0" showLastColumn="0" showRowStripes="0" showColumnStripes="0"/>
</table>
</file>

<file path=xl/tables/table26.xml><?xml version="1.0" encoding="utf-8"?>
<table xmlns="http://schemas.openxmlformats.org/spreadsheetml/2006/main" id="26" name="tbl_LookupBudgetCategory" displayName="tbl_LookupBudgetCategory" ref="B135:B140" headerRowCount="1">
  <autoFilter ref="B135:B140"/>
  <tableColumns count="1">
    <tableColumn id="2" name="Budget Category"/>
  </tableColumns>
  <tableStyleInfo name="TableStyleLight1" showFirstColumn="0" showLastColumn="0" showRowStripes="0" showColumnStripes="0"/>
</table>
</file>

<file path=xl/tables/table27.xml><?xml version="1.0" encoding="utf-8"?>
<table xmlns="http://schemas.openxmlformats.org/spreadsheetml/2006/main" id="27" name="tbl_LookupAlertSeverity" displayName="tbl_LookupAlertSeverity" ref="B142:B145" headerRowCount="1">
  <autoFilter ref="B142:B145"/>
  <tableColumns count="1">
    <tableColumn id="2" name="Alert Severity"/>
  </tableColumns>
  <tableStyleInfo name="TableStyleLight1" showFirstColumn="0" showLastColumn="0" showRowStripes="0" showColumnStripes="0"/>
</table>
</file>

<file path=xl/tables/table28.xml><?xml version="1.0" encoding="utf-8"?>
<table xmlns="http://schemas.openxmlformats.org/spreadsheetml/2006/main" id="28" name="tbl_KPITargets" displayName="tbl_KPITargets" ref="B149:F159" headerRowCount="1">
  <autoFilter ref="B149:F159"/>
  <tableColumns count="5">
    <tableColumn id="2" name="KPI Name"/>
    <tableColumn id="3" name="Target Value"/>
    <tableColumn id="4" name="Unit"/>
    <tableColumn id="5" name="Period"/>
    <tableColumn id="6" name="Notes"/>
  </tableColumns>
  <tableStyleInfo name="TableStyleLight1" showFirstColumn="0" showLastColumn="0" showRowStripes="0" showColumnStripes="0"/>
</table>
</file>

<file path=xl/tables/table29.xml><?xml version="1.0" encoding="utf-8"?>
<table xmlns="http://schemas.openxmlformats.org/spreadsheetml/2006/main" id="29" name="tbl_HealthScoreWeights" displayName="tbl_HealthScoreWeights" ref="B163:C173" headerRowCount="1">
  <autoFilter ref="B163:C173"/>
  <tableColumns count="2">
    <tableColumn id="2" name="Component"/>
    <tableColumn id="3" name="Weight"/>
  </tableColumns>
  <tableStyleInfo name="TableStyleLight1" showFirstColumn="0" showLastColumn="0" showRowStripes="0" showColumnStripes="0"/>
</table>
</file>

<file path=xl/tables/table30.xml><?xml version="1.0" encoding="utf-8"?>
<table xmlns="http://schemas.openxmlformats.org/spreadsheetml/2006/main" id="30" name="tbl_Holidays" displayName="tbl_Holidays" ref="B177:C178" headerRowCount="1">
  <autoFilter ref="B177:C178"/>
  <tableColumns count="2">
    <tableColumn id="2" name="Date"/>
    <tableColumn id="3" name="Holiday Name"/>
  </tableColumns>
  <tableStyleInfo name="TableStyleLight1" showFirstColumn="0" showLastColumn="0" showRowStripes="0" showColumnStripes="0"/>
</table>
</file>

<file path=xl/tables/table31.xml><?xml version="1.0" encoding="utf-8"?>
<table xmlns="http://schemas.openxmlformats.org/spreadsheetml/2006/main" id="31"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32.xml><?xml version="1.0" encoding="utf-8"?>
<table xmlns="http://schemas.openxmlformats.org/spreadsheetml/2006/main" id="32"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33.xml><?xml version="1.0" encoding="utf-8"?>
<table xmlns="http://schemas.openxmlformats.org/spreadsheetml/2006/main" id="33"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34.xml><?xml version="1.0" encoding="utf-8"?>
<table xmlns="http://schemas.openxmlformats.org/spreadsheetml/2006/main" id="34"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35.xml><?xml version="1.0" encoding="utf-8"?>
<table xmlns="http://schemas.openxmlformats.org/spreadsheetml/2006/main" id="35"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36.xml><?xml version="1.0" encoding="utf-8"?>
<table xmlns="http://schemas.openxmlformats.org/spreadsheetml/2006/main" id="36"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37.xml><?xml version="1.0" encoding="utf-8"?>
<table xmlns="http://schemas.openxmlformats.org/spreadsheetml/2006/main" id="37"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8.xml><?xml version="1.0" encoding="utf-8"?>
<table xmlns="http://schemas.openxmlformats.org/spreadsheetml/2006/main" id="38"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9.xml><?xml version="1.0" encoding="utf-8"?>
<table xmlns="http://schemas.openxmlformats.org/spreadsheetml/2006/main" id="39"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40.xml><?xml version="1.0" encoding="utf-8"?>
<table xmlns="http://schemas.openxmlformats.org/spreadsheetml/2006/main" id="40"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41.xml><?xml version="1.0" encoding="utf-8"?>
<table xmlns="http://schemas.openxmlformats.org/spreadsheetml/2006/main" id="41"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42.xml><?xml version="1.0" encoding="utf-8"?>
<table xmlns="http://schemas.openxmlformats.org/spreadsheetml/2006/main" id="42"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43.xml><?xml version="1.0" encoding="utf-8"?>
<table xmlns="http://schemas.openxmlformats.org/spreadsheetml/2006/main" id="43"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44.xml><?xml version="1.0" encoding="utf-8"?>
<table xmlns="http://schemas.openxmlformats.org/spreadsheetml/2006/main" id="44"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45.xml><?xml version="1.0" encoding="utf-8"?>
<table xmlns="http://schemas.openxmlformats.org/spreadsheetml/2006/main" id="45"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46.xml><?xml version="1.0" encoding="utf-8"?>
<table xmlns="http://schemas.openxmlformats.org/spreadsheetml/2006/main" id="46"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47.xml><?xml version="1.0" encoding="utf-8"?>
<table xmlns="http://schemas.openxmlformats.org/spreadsheetml/2006/main" id="47"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8.xml><?xml version="1.0" encoding="utf-8"?>
<table xmlns="http://schemas.openxmlformats.org/spreadsheetml/2006/main" id="48"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9.xml><?xml version="1.0" encoding="utf-8"?>
<table xmlns="http://schemas.openxmlformats.org/spreadsheetml/2006/main" id="49"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50.xml><?xml version="1.0" encoding="utf-8"?>
<table xmlns="http://schemas.openxmlformats.org/spreadsheetml/2006/main" id="50"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51.xml><?xml version="1.0" encoding="utf-8"?>
<table xmlns="http://schemas.openxmlformats.org/spreadsheetml/2006/main" id="51"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52.xml><?xml version="1.0" encoding="utf-8"?>
<table xmlns="http://schemas.openxmlformats.org/spreadsheetml/2006/main" id="52"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53.xml><?xml version="1.0" encoding="utf-8"?>
<table xmlns="http://schemas.openxmlformats.org/spreadsheetml/2006/main" id="53"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54.xml><?xml version="1.0" encoding="utf-8"?>
<table xmlns="http://schemas.openxmlformats.org/spreadsheetml/2006/main" id="54"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55.xml><?xml version="1.0" encoding="utf-8"?>
<table xmlns="http://schemas.openxmlformats.org/spreadsheetml/2006/main" id="55"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56.xml><?xml version="1.0" encoding="utf-8"?>
<table xmlns="http://schemas.openxmlformats.org/spreadsheetml/2006/main" id="56"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57.xml><?xml version="1.0" encoding="utf-8"?>
<table xmlns="http://schemas.openxmlformats.org/spreadsheetml/2006/main" id="57"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8.xml><?xml version="1.0" encoding="utf-8"?>
<table xmlns="http://schemas.openxmlformats.org/spreadsheetml/2006/main" id="58"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9.xml><?xml version="1.0" encoding="utf-8"?>
<table xmlns="http://schemas.openxmlformats.org/spreadsheetml/2006/main" id="59"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ables/table60.xml><?xml version="1.0" encoding="utf-8"?>
<table xmlns="http://schemas.openxmlformats.org/spreadsheetml/2006/main" id="60" name="tbl_RAW_MetaAds" displayName="tbl_RAW_Meta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1.xml><?xml version="1.0" encoding="utf-8"?>
<table xmlns="http://schemas.openxmlformats.org/spreadsheetml/2006/main" id="61" name="tbl_RAW_GoogleAnalytics" displayName="tbl_RAW_GoogleAnalytic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2.xml><?xml version="1.0" encoding="utf-8"?>
<table xmlns="http://schemas.openxmlformats.org/spreadsheetml/2006/main" id="62" name="tbl_RAW_GoogleAds" displayName="tbl_RAW_Google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3.xml><?xml version="1.0" encoding="utf-8"?>
<table xmlns="http://schemas.openxmlformats.org/spreadsheetml/2006/main" id="63" name="tbl_RAW_TikTokAds" displayName="tbl_RAW_TikTok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4.xml><?xml version="1.0" encoding="utf-8"?>
<table xmlns="http://schemas.openxmlformats.org/spreadsheetml/2006/main" id="64" name="tbl_RAW_EmailMarketing" displayName="tbl_RAW_EmailMarketing"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5.xml><?xml version="1.0" encoding="utf-8"?>
<table xmlns="http://schemas.openxmlformats.org/spreadsheetml/2006/main" id="65" name="tbl_RAW_InfluencerCampaigns" displayName="tbl_RAW_InfluencerCampaign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6.xml><?xml version="1.0" encoding="utf-8"?>
<table xmlns="http://schemas.openxmlformats.org/spreadsheetml/2006/main" id="66" name="tbl_FACT_MarketingSpend" displayName="tbl_FACT_MarketingSpend" ref="B11:H12" headerRowCount="1">
  <autoFilter ref="B11:H12"/>
  <tableColumns count="7">
    <tableColumn id="2" name="DateKey"/>
    <tableColumn id="3" name="ChannelName"/>
    <tableColumn id="4" name="CampaignID"/>
    <tableColumn id="5" name="CampaignName"/>
    <tableColumn id="6" name="Spend"/>
    <tableColumn id="7" name="Conversions"/>
    <tableColumn id="8" name="Currency"/>
  </tableColumns>
  <tableStyleInfo name="TableStyleLight1" showFirstColumn="0" showLastColumn="0" showRowStripes="0" showColumnStripes="0"/>
</table>
</file>

<file path=xl/tables/table67.xml><?xml version="1.0" encoding="utf-8"?>
<table xmlns="http://schemas.openxmlformats.org/spreadsheetml/2006/main" id="67" name="tbl_FUTURE_AI_Insights" displayName="tbl_FUTURE_AI_Insights" ref="B11:E12" headerRowCount="1">
  <autoFilter ref="B11:E12"/>
  <tableColumns count="4">
    <tableColumn id="2" name="FeatureName"/>
    <tableColumn id="3" name="Status"/>
    <tableColumn id="4" name="Description"/>
    <tableColumn id="5" name="WouldReplaceOrEnrich"/>
  </tableColumns>
  <tableStyleInfo name="TableStyleLight1" showFirstColumn="0" showLastColumn="0" showRowStripes="0" showColumnStripes="0"/>
</table>
</file>

<file path=xl/tables/table68.xml><?xml version="1.0" encoding="utf-8"?>
<table xmlns="http://schemas.openxmlformats.org/spreadsheetml/2006/main" id="68" name="tbl_BI_Insights" displayName="tbl_BI_Insights" ref="B11:E12" headerRowCount="1">
  <autoFilter ref="B11:E12"/>
  <tableColumns count="4">
    <tableColumn id="2" name="InsightID"/>
    <tableColumn id="3" name="Category"/>
    <tableColumn id="4" name="InsightText"/>
    <tableColumn id="5" name="Severity"/>
  </tableColumns>
  <tableStyleInfo name="TableStyleLight1" showFirstColumn="0" showLastColumn="0" showRowStripes="0" showColumnStripes="0"/>
</table>
</file>

<file path=xl/tables/table69.xml><?xml version="1.0" encoding="utf-8"?>
<table xmlns="http://schemas.openxmlformats.org/spreadsheetml/2006/main" id="69" name="tbl_BI_Alerts" displayName="tbl_BI_Alerts" ref="B11:F12" headerRowCount="1">
  <autoFilter ref="B11:F12"/>
  <tableColumns count="5">
    <tableColumn id="2" name="AlertID"/>
    <tableColumn id="3" name="AlertName"/>
    <tableColumn id="4" name="Condition"/>
    <tableColumn id="5" name="Status"/>
    <tableColumn id="6" name="Severity"/>
  </tableColumns>
  <tableStyleInfo name="TableStyleLight1" showFirstColumn="0" showLastColumn="0" showRowStripes="0" showColumnStripes="0"/>
</table>
</file>

<file path=xl/tables/table70.xml><?xml version="1.0" encoding="utf-8"?>
<table xmlns="http://schemas.openxmlformats.org/spreadsheetml/2006/main" id="70" name="tbl_BI_Forecast" displayName="tbl_BI_Forecast" ref="B11:E12" headerRowCount="1">
  <autoFilter ref="B11:E12"/>
  <tableColumns count="4">
    <tableColumn id="2" name="Metric"/>
    <tableColumn id="3" name="Method"/>
    <tableColumn id="4" name="ForecastPeriod"/>
    <tableColumn id="5" name="ForecastValue"/>
  </tableColumns>
  <tableStyleInfo name="TableStyleLight1" showFirstColumn="0" showLastColumn="0" showRowStripes="0" showColumnStripes="0"/>
</table>
</file>

<file path=xl/tables/table71.xml><?xml version="1.0" encoding="utf-8"?>
<table xmlns="http://schemas.openxmlformats.org/spreadsheetml/2006/main" id="71" name="tbl_BI_HealthScore" displayName="tbl_BI_HealthScore" ref="B11:E12" headerRowCount="1">
  <autoFilter ref="B11:E12"/>
  <tableColumns count="4">
    <tableColumn id="2" name="Component"/>
    <tableColumn id="3" name="Score (0-100)"/>
    <tableColumn id="4" name="Weight"/>
    <tableColumn id="5" name="Weighted Contribution"/>
  </tableColumns>
  <tableStyleInfo name="TableStyleLight1" showFirstColumn="0" showLastColumn="0" showRowStripes="0" showColumnStripes="0"/>
</table>
</file>

<file path=xl/tables/table72.xml><?xml version="1.0" encoding="utf-8"?>
<table xmlns="http://schemas.openxmlformats.org/spreadsheetml/2006/main" id="72" name="tbl_RPT_Workflow" displayName="tbl_RPT_Workflow" ref="B11:D12" headerRowCount="1">
  <autoFilter ref="B11:D12"/>
  <tableColumns count="3">
    <tableColumn id="2" name="Metric"/>
    <tableColumn id="3" name="Value"/>
    <tableColumn id="4" name="Note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 Type="http://schemas.openxmlformats.org/officeDocument/2006/relationships/hyperlink" Target="#'RPT_ExecutiveBrief'!A1" TargetMode="External" Id="rId15" /><Relationship Type="http://schemas.openxmlformats.org/officeDocument/2006/relationships/hyperlink" Target="#'RPT_Workflow'!A1" TargetMode="External" Id="rId16" /></Relationships>
</file>

<file path=xl/worksheets/_rels/sheet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drawing" Target="/xl/drawings/drawing1.xml" Id="rId3" /></Relationships>
</file>

<file path=xl/worksheets/_rels/sheet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hyperlink" Target="#'06_Customers'!A1" TargetMode="External" Id="rId3" /><Relationship Type="http://schemas.openxmlformats.org/officeDocument/2006/relationships/hyperlink" Target="#'07_Inventory'!A1" TargetMode="External" Id="rId4" /><Relationship Type="http://schemas.openxmlformats.org/officeDocument/2006/relationships/hyperlink" Target="#'09_Profitability'!A1" TargetMode="External" Id="rId5" /><Relationship Type="http://schemas.openxmlformats.org/officeDocument/2006/relationships/hyperlink" Target="#'10_Expenses'!A1" TargetMode="External" Id="rId6" /></Relationships>
</file>

<file path=xl/worksheets/_rels/sheet4.xml.rels><Relationships xmlns="http://schemas.openxmlformats.org/package/2006/relationships"><Relationship Type="http://schemas.openxmlformats.org/officeDocument/2006/relationships/hyperlink" Target="#'01_Home'!A1" TargetMode="External" Id="rId1" /></Relationships>
</file>

<file path=xl/worksheets/_rels/sheet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xml" Id="rId2" /></Relationships>
</file>

<file path=xl/worksheets/_rels/sheet6.xml.rels><Relationships xmlns="http://schemas.openxmlformats.org/package/2006/relationships"><Relationship Type="http://schemas.openxmlformats.org/officeDocument/2006/relationships/hyperlink" Target="#'01_Home'!A1" TargetMode="External" Id="rId1" /></Relationships>
</file>

<file path=xl/worksheets/_rels/sheet7.xml.rels><Relationships xmlns="http://schemas.openxmlformats.org/package/2006/relationships"><Relationship Type="http://schemas.openxmlformats.org/officeDocument/2006/relationships/hyperlink" Target="#'01_Home'!A1" TargetMode="External" Id="rId1" /></Relationships>
</file>

<file path=xl/worksheets/_rels/sheet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hyperlink" Target="#'01_Home'!A1" TargetMode="External" Id="rId1" /></Relationships>
</file>

<file path=xl/worksheets/_rels/sheet1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xml" Id="rId2" /></Relationships>
</file>

<file path=xl/worksheets/_rels/sheet1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xml" Id="rId2" /></Relationships>
</file>

<file path=xl/worksheets/_rels/sheet1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 Type="http://schemas.openxmlformats.org/officeDocument/2006/relationships/table" Target="/xl/tables/table8.xml" Id="rId5" /></Relationships>
</file>

<file path=xl/worksheets/_rels/sheet13.xml.rels><Relationships xmlns="http://schemas.openxmlformats.org/package/2006/relationships"><Relationship Type="http://schemas.openxmlformats.org/officeDocument/2006/relationships/hyperlink" Target="#'01_Home'!A1" TargetMode="External" Id="rId1" /></Relationships>
</file>

<file path=xl/worksheets/_rels/sheet1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2.xml" Id="rId2" /><Relationship Type="http://schemas.openxmlformats.org/officeDocument/2006/relationships/table" Target="/xl/tables/table9.xml" Id="rId3" /><Relationship Type="http://schemas.openxmlformats.org/officeDocument/2006/relationships/table" Target="/xl/tables/table10.xml" Id="rId4" /><Relationship Type="http://schemas.openxmlformats.org/officeDocument/2006/relationships/table" Target="/xl/tables/table11.xml" Id="rId5" /></Relationships>
</file>

<file path=xl/worksheets/_rels/sheet1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2.xml" Id="rId2" /><Relationship Type="http://schemas.openxmlformats.org/officeDocument/2006/relationships/table" Target="/xl/tables/table13.xml" Id="rId3" /><Relationship Type="http://schemas.openxmlformats.org/officeDocument/2006/relationships/table" Target="/xl/tables/table14.xml" Id="rId4" /><Relationship Type="http://schemas.openxmlformats.org/officeDocument/2006/relationships/table" Target="/xl/tables/table15.xml" Id="rId5" /><Relationship Type="http://schemas.openxmlformats.org/officeDocument/2006/relationships/table" Target="/xl/tables/table16.xml" Id="rId6" /><Relationship Type="http://schemas.openxmlformats.org/officeDocument/2006/relationships/table" Target="/xl/tables/table17.xml" Id="rId7" /><Relationship Type="http://schemas.openxmlformats.org/officeDocument/2006/relationships/table" Target="/xl/tables/table18.xml" Id="rId8" /><Relationship Type="http://schemas.openxmlformats.org/officeDocument/2006/relationships/table" Target="/xl/tables/table19.xml" Id="rId9" /><Relationship Type="http://schemas.openxmlformats.org/officeDocument/2006/relationships/table" Target="/xl/tables/table20.xml" Id="rId10" /><Relationship Type="http://schemas.openxmlformats.org/officeDocument/2006/relationships/table" Target="/xl/tables/table21.xml" Id="rId11" /><Relationship Type="http://schemas.openxmlformats.org/officeDocument/2006/relationships/table" Target="/xl/tables/table22.xml" Id="rId12" /><Relationship Type="http://schemas.openxmlformats.org/officeDocument/2006/relationships/table" Target="/xl/tables/table23.xml" Id="rId13" /><Relationship Type="http://schemas.openxmlformats.org/officeDocument/2006/relationships/table" Target="/xl/tables/table24.xml" Id="rId14" /><Relationship Type="http://schemas.openxmlformats.org/officeDocument/2006/relationships/table" Target="/xl/tables/table25.xml" Id="rId15" /><Relationship Type="http://schemas.openxmlformats.org/officeDocument/2006/relationships/table" Target="/xl/tables/table26.xml" Id="rId16" /><Relationship Type="http://schemas.openxmlformats.org/officeDocument/2006/relationships/table" Target="/xl/tables/table27.xml" Id="rId17" /><Relationship Type="http://schemas.openxmlformats.org/officeDocument/2006/relationships/table" Target="/xl/tables/table28.xml" Id="rId18" /><Relationship Type="http://schemas.openxmlformats.org/officeDocument/2006/relationships/table" Target="/xl/tables/table29.xml" Id="rId19" /><Relationship Type="http://schemas.openxmlformats.org/officeDocument/2006/relationships/table" Target="/xl/tables/table30.xml" Id="rId20" /></Relationships>
</file>

<file path=xl/worksheets/_rels/sheet1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1.xml" Id="rId2" /></Relationships>
</file>

<file path=xl/worksheets/_rels/sheet1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2.xml" Id="rId2" /></Relationships>
</file>

<file path=xl/worksheets/_rels/sheet1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3.xml" Id="rId2" /></Relationships>
</file>

<file path=xl/worksheets/_rels/sheet1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4.xml" Id="rId2" /></Relationships>
</file>

<file path=xl/worksheets/_rels/sheet2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5.xml" Id="rId2" /></Relationships>
</file>

<file path=xl/worksheets/_rels/sheet2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6.xml" Id="rId2" /></Relationships>
</file>

<file path=xl/worksheets/_rels/sheet2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7.xml" Id="rId2" /></Relationships>
</file>

<file path=xl/worksheets/_rels/sheet2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8.xml" Id="rId2" /></Relationships>
</file>

<file path=xl/worksheets/_rels/sheet2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9.xml" Id="rId2" /></Relationships>
</file>

<file path=xl/worksheets/_rels/sheet2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0.xml" Id="rId2" /></Relationships>
</file>

<file path=xl/worksheets/_rels/sheet2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1.xml" Id="rId2" /></Relationships>
</file>

<file path=xl/worksheets/_rels/sheet2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2.xml" Id="rId2" /></Relationships>
</file>

<file path=xl/worksheets/_rels/sheet2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3.xml" Id="rId2" /></Relationships>
</file>

<file path=xl/worksheets/_rels/sheet2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4.xml" Id="rId2" /></Relationships>
</file>

<file path=xl/worksheets/_rels/sheet3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5.xml" Id="rId2" /></Relationships>
</file>

<file path=xl/worksheets/_rels/sheet3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6.xml" Id="rId2" /></Relationships>
</file>

<file path=xl/worksheets/_rels/sheet3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7.xml" Id="rId2" /></Relationships>
</file>

<file path=xl/worksheets/_rels/sheet3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8.xml" Id="rId2" /></Relationships>
</file>

<file path=xl/worksheets/_rels/sheet3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9.xml" Id="rId2" /></Relationships>
</file>

<file path=xl/worksheets/_rels/sheet3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0.xml" Id="rId2" /></Relationships>
</file>

<file path=xl/worksheets/_rels/sheet3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1.xml" Id="rId2" /></Relationships>
</file>

<file path=xl/worksheets/_rels/sheet3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2.xml" Id="rId2" /></Relationships>
</file>

<file path=xl/worksheets/_rels/sheet3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3.xml" Id="rId2" /></Relationships>
</file>

<file path=xl/worksheets/_rels/sheet3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4.xml" Id="rId2" /></Relationships>
</file>

<file path=xl/worksheets/_rels/sheet4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5.xml" Id="rId2" /></Relationships>
</file>

<file path=xl/worksheets/_rels/sheet4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6.xml" Id="rId2" /></Relationships>
</file>

<file path=xl/worksheets/_rels/sheet4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7.xml" Id="rId2" /></Relationships>
</file>

<file path=xl/worksheets/_rels/sheet4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8.xml" Id="rId2" /></Relationships>
</file>

<file path=xl/worksheets/_rels/sheet4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9.xml" Id="rId2" /></Relationships>
</file>

<file path=xl/worksheets/_rels/sheet4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0.xml" Id="rId2" /></Relationships>
</file>

<file path=xl/worksheets/_rels/sheet4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1.xml" Id="rId2" /></Relationships>
</file>

<file path=xl/worksheets/_rels/sheet4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2.xml" Id="rId2" /></Relationships>
</file>

<file path=xl/worksheets/_rels/sheet4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3.xml" Id="rId2" /></Relationships>
</file>

<file path=xl/worksheets/_rels/sheet4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4.xml" Id="rId2" /></Relationships>
</file>

<file path=xl/worksheets/_rels/sheet5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5.xml" Id="rId2" /></Relationships>
</file>

<file path=xl/worksheets/_rels/sheet5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6.xml" Id="rId2" /></Relationships>
</file>

<file path=xl/worksheets/_rels/sheet5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7.xml" Id="rId2" /></Relationships>
</file>

<file path=xl/worksheets/_rels/sheet5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8.xml" Id="rId2" /></Relationships>
</file>

<file path=xl/worksheets/_rels/sheet5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9.xml" Id="rId2" /></Relationships>
</file>

<file path=xl/worksheets/_rels/sheet5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0.xml" Id="rId2" /></Relationships>
</file>

<file path=xl/worksheets/_rels/sheet5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1.xml" Id="rId2" /></Relationships>
</file>

<file path=xl/worksheets/_rels/sheet57.xml.rels><Relationships xmlns="http://schemas.openxmlformats.org/package/2006/relationships"><Relationship Type="http://schemas.openxmlformats.org/officeDocument/2006/relationships/hyperlink" Target="#'01_Home'!A1" TargetMode="External" Id="rId1" /></Relationships>
</file>

<file path=xl/worksheets/_rels/sheet5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3.xml" Id="rId2" /><Relationship Type="http://schemas.openxmlformats.org/officeDocument/2006/relationships/table" Target="/xl/tables/table72.xml" Id="rId3" /></Relationships>
</file>

<file path=xl/worksheets/sheet1.xml><?xml version="1.0" encoding="utf-8"?>
<worksheet xmlns="http://schemas.openxmlformats.org/spreadsheetml/2006/main">
  <sheetPr>
    <tabColor rgb="00000000"/>
    <outlinePr applyStyles="1" summaryBelow="0" summaryRight="1"/>
    <pageSetUpPr/>
  </sheetPr>
  <dimension ref="A1:N3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f>IFERROR(TEXT(MAX(LOG_RefreshHistory[Timestamp]),"dd-mmm hh:mm"),"—")</f>
        <v/>
      </c>
      <c r="C12" s="7" t="n"/>
      <c r="D12" s="9">
        <f>IFERROR(TEXT(OverallDataQualityPct,"0.0%"),"—")</f>
        <v/>
      </c>
      <c r="E12" s="7" t="n"/>
      <c r="F12" s="9">
        <f>INDEX(tbl_VersionLog[Version],COUNTA(tbl_VersionLog[Version]))</f>
        <v/>
      </c>
      <c r="G12" s="7" t="n"/>
      <c r="H12" s="10">
        <f>INDEX(tbl_VersionLog[Phase],COUNTA(tbl_VersionLog[Phase]))</f>
        <v/>
      </c>
      <c r="I12" s="7" t="n"/>
    </row>
    <row r="13" ht="22" customHeight="1">
      <c r="B13" s="7" t="n"/>
      <c r="C13" s="7" t="n"/>
      <c r="D13" s="7" t="n"/>
      <c r="E13" s="7" t="n"/>
      <c r="F13" s="7" t="n"/>
      <c r="G13" s="7" t="n"/>
      <c r="H13" s="7" t="n"/>
      <c r="I13" s="7" t="n"/>
    </row>
    <row r="15">
      <c r="B15" s="11" t="inlineStr">
        <is>
          <t>NAVIGATION</t>
        </is>
      </c>
    </row>
    <row r="16" ht="18" customHeight="1">
      <c r="B16" s="12" t="inlineStr">
        <is>
          <t>02
Partner Dashboard</t>
        </is>
      </c>
      <c r="C16" s="7" t="n"/>
      <c r="D16" s="12" t="inlineStr">
        <is>
          <t>03
CEO Dashboard</t>
        </is>
      </c>
      <c r="E16" s="7" t="n"/>
      <c r="F16" s="12" t="inlineStr">
        <is>
          <t>04
Sales</t>
        </is>
      </c>
      <c r="G16" s="7" t="n"/>
      <c r="H16" s="12" t="inlineStr">
        <is>
          <t>05
Products</t>
        </is>
      </c>
      <c r="I16" s="7" t="n"/>
    </row>
    <row r="17" ht="18" customHeight="1">
      <c r="B17" s="7" t="n"/>
      <c r="C17" s="7" t="n"/>
      <c r="D17" s="7" t="n"/>
      <c r="E17" s="7" t="n"/>
      <c r="F17" s="7" t="n"/>
      <c r="G17" s="7" t="n"/>
      <c r="H17" s="7" t="n"/>
      <c r="I17" s="7" t="n"/>
    </row>
    <row r="19" ht="18" customHeight="1">
      <c r="B19" s="12" t="inlineStr">
        <is>
          <t>06
Customers</t>
        </is>
      </c>
      <c r="C19" s="7" t="n"/>
      <c r="D19" s="12" t="inlineStr">
        <is>
          <t>07
Inventory</t>
        </is>
      </c>
      <c r="E19" s="7" t="n"/>
      <c r="F19" s="12" t="inlineStr">
        <is>
          <t>08
Finance</t>
        </is>
      </c>
      <c r="G19" s="7" t="n"/>
      <c r="H19" s="12" t="inlineStr">
        <is>
          <t>09
Profitability</t>
        </is>
      </c>
      <c r="I19" s="7" t="n"/>
    </row>
    <row r="20" ht="18" customHeight="1">
      <c r="B20" s="7" t="n"/>
      <c r="C20" s="7" t="n"/>
      <c r="D20" s="7" t="n"/>
      <c r="E20" s="7" t="n"/>
      <c r="F20" s="7" t="n"/>
      <c r="G20" s="7" t="n"/>
      <c r="H20" s="7" t="n"/>
      <c r="I20" s="7" t="n"/>
    </row>
    <row r="22" ht="18" customHeight="1">
      <c r="B22" s="12" t="inlineStr">
        <is>
          <t>10
Expenses</t>
        </is>
      </c>
      <c r="C22" s="7" t="n"/>
      <c r="D22" s="12" t="inlineStr">
        <is>
          <t>11
Capital</t>
        </is>
      </c>
      <c r="E22" s="7" t="n"/>
      <c r="F22" s="12" t="inlineStr">
        <is>
          <t>12
Suppliers</t>
        </is>
      </c>
      <c r="G22" s="7" t="n"/>
      <c r="H22" s="12" t="inlineStr">
        <is>
          <t>13
Marketing</t>
        </is>
      </c>
      <c r="I22" s="7" t="n"/>
    </row>
    <row r="23" ht="18" customHeight="1">
      <c r="B23" s="7" t="n"/>
      <c r="C23" s="7" t="n"/>
      <c r="D23" s="7" t="n"/>
      <c r="E23" s="7" t="n"/>
      <c r="F23" s="7" t="n"/>
      <c r="G23" s="7" t="n"/>
      <c r="H23" s="7" t="n"/>
      <c r="I23" s="7" t="n"/>
    </row>
    <row r="25" ht="18" customHeight="1">
      <c r="B25" s="12" t="inlineStr">
        <is>
          <t>14
Data Quality</t>
        </is>
      </c>
      <c r="C25" s="7" t="n"/>
      <c r="D25" s="12" t="inlineStr">
        <is>
          <t>15
Settings</t>
        </is>
      </c>
      <c r="E25" s="7" t="n"/>
    </row>
    <row r="26" ht="18" customHeight="1">
      <c r="B26" s="7" t="n"/>
      <c r="C26" s="7" t="n"/>
      <c r="D26" s="7" t="n"/>
      <c r="E26" s="7" t="n"/>
    </row>
    <row r="30">
      <c r="B30" s="11" t="inlineStr">
        <is>
          <t>GLOBAL FILTERS  (orange cells = type or choose 'All')</t>
        </is>
      </c>
    </row>
    <row r="31" ht="14" customHeight="1">
      <c r="B31" s="13" t="inlineStr">
        <is>
          <t>Date From</t>
        </is>
      </c>
      <c r="D31" s="13" t="inlineStr">
        <is>
          <t>Date To</t>
        </is>
      </c>
      <c r="F31" s="13" t="inlineStr">
        <is>
          <t>Collection</t>
        </is>
      </c>
      <c r="H31" s="13" t="inlineStr">
        <is>
          <t>SKU</t>
        </is>
      </c>
      <c r="J31" s="13" t="inlineStr">
        <is>
          <t>Supplier</t>
        </is>
      </c>
      <c r="L31" s="13" t="inlineStr">
        <is>
          <t>Location</t>
        </is>
      </c>
      <c r="N31" s="13" t="inlineStr">
        <is>
          <t>Campaign</t>
        </is>
      </c>
    </row>
    <row r="32" ht="18" customHeight="1">
      <c r="B32" s="14" t="inlineStr">
        <is>
          <t>2026-01-01</t>
        </is>
      </c>
      <c r="D32" s="14" t="inlineStr">
        <is>
          <t>2026-12-31</t>
        </is>
      </c>
      <c r="F32" s="14" t="inlineStr">
        <is>
          <t>All</t>
        </is>
      </c>
      <c r="H32" s="14" t="inlineStr">
        <is>
          <t>All</t>
        </is>
      </c>
      <c r="J32" s="14" t="inlineStr">
        <is>
          <t>All</t>
        </is>
      </c>
      <c r="L32" s="14" t="inlineStr">
        <is>
          <t>All</t>
        </is>
      </c>
      <c r="N32" s="14" t="inlineStr">
        <is>
          <t>All (reserved — see Marketing-Ready Layer, not connected yet)</t>
        </is>
      </c>
    </row>
    <row r="34">
      <c r="B34" s="11" t="inlineStr">
        <is>
          <t>REPORTS &amp; TOOLS  (hidden sheets — click to open, or right-click any tab → Unhide)</t>
        </is>
      </c>
    </row>
    <row r="35">
      <c r="B35" s="15" t="inlineStr">
        <is>
          <t>→  Daily Executive Brief</t>
        </is>
      </c>
    </row>
    <row r="36">
      <c r="B36" s="15" t="inlineStr">
        <is>
          <t>→  Workflow Dashboard</t>
        </is>
      </c>
    </row>
    <row r="38">
      <c r="B38" s="16" t="inlineStr">
        <is>
          <t>Phase 6 build. See 15_Settings' Version Log for the full phase history and roadmap. Data shown on dashboards resolves once the Data Model is wired — see power-query/README.md and dax/README.md.</t>
        </is>
      </c>
    </row>
  </sheetData>
  <sheetProtection selectLockedCells="0" selectUnlockedCells="0" sheet="1" objects="0" insertRows="0" insertHyperlinks="1" autoFilter="1" scenarios="0" formatColumns="0" deleteColumns="0" insertColumns="0" pivotTables="0" deleteRows="0" formatCells="0" formatRows="0" sort="1" password="C24F"/>
  <mergeCells count="32">
    <mergeCell ref="B4:L4"/>
    <mergeCell ref="F11:G11"/>
    <mergeCell ref="F22:G23"/>
    <mergeCell ref="D16:E17"/>
    <mergeCell ref="H22:I23"/>
    <mergeCell ref="B7:L7"/>
    <mergeCell ref="B19:C20"/>
    <mergeCell ref="D12:E13"/>
    <mergeCell ref="H19:I20"/>
    <mergeCell ref="A3:L3"/>
    <mergeCell ref="H16:I17"/>
    <mergeCell ref="B36:E36"/>
    <mergeCell ref="A2:L2"/>
    <mergeCell ref="D25:E26"/>
    <mergeCell ref="H12:I13"/>
    <mergeCell ref="B35:E35"/>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dataValidations count="3">
    <dataValidation sqref="F32" showDropDown="0" showInputMessage="1" showErrorMessage="1" allowBlank="1" errorTitle="Invalid entry" error="Please choose a value from the Collection list — free text isn't accepted here." promptTitle="Collection" prompt="Choose a Collection, or 'All'." type="list" errorStyle="stop">
      <formula1>=CollectionTitleList</formula1>
    </dataValidation>
    <dataValidation sqref="H32" showDropDown="0" showInputMessage="1" showErrorMessage="1" allowBlank="1" errorTitle="Invalid entry" error="Please choose a value from the SKU list — free text isn't accepted here." promptTitle="SKU" prompt="Choose a SKU, or 'All'." type="list" errorStyle="stop">
      <formula1>=SKUList</formula1>
    </dataValidation>
    <dataValidation sqref="J32" showDropDown="0" showInputMessage="1" showErrorMessage="1" allowBlank="1" errorTitle="Invalid entry" error="Please choose a value from the Supplier list — free text isn't accepted here." promptTitle="Supplier" prompt="Choose a Supplier, or 'All'." type="list" errorStyle="stop">
      <formula1>=SupplierNameList</formula1>
    </dataValidation>
  </dataValidation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 xmlns:r="http://schemas.openxmlformats.org/officeDocument/2006/relationships" ref="B35" r:id="rId15"/>
    <hyperlink xmlns:r="http://schemas.openxmlformats.org/officeDocument/2006/relationships" ref="B36" r:id="rId16"/>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fitToPage="1"/>
  </sheetPr>
  <dimension ref="A1:N5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17"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Executive view for business partners — the headline numbers only, no operational drill-down. Simple, beautiful, minimal by design.</t>
        </is>
      </c>
    </row>
    <row r="5" hidden="1" outlineLevel="1" ht="13" customHeight="1">
      <c r="A5" s="4" t="inlineStr">
        <is>
          <t>Input tables</t>
        </is>
      </c>
      <c r="B5" s="5" t="inlineStr">
        <is>
          <t>The Data Model (dax/MEASURES.md, dax/PHASE5_MEASURES_ADDENDUM.md) via CUBEVALUE/CUBESET — no PivotTable required.</t>
        </is>
      </c>
    </row>
    <row r="6" hidden="1" outlineLevel="1" ht="13" customHeight="1">
      <c r="A6" s="4" t="inlineStr">
        <is>
          <t>Output tables</t>
        </is>
      </c>
      <c r="B6" s="5" t="inlineStr">
        <is>
          <t>5 KPI cards, one 12-month trend chart, a live Top 5 Products list, Key Insights (from BI_Insights).</t>
        </is>
      </c>
    </row>
    <row r="7" hidden="1" outlineLevel="1" ht="13" customHeight="1">
      <c r="A7" s="4" t="inlineStr">
        <is>
          <t>Relationships</t>
        </is>
      </c>
      <c r="B7" s="5" t="inlineStr">
        <is>
          <t>Reads the Data Model directly; BI_Insights supplies the insight text shown here.</t>
        </is>
      </c>
    </row>
    <row r="8" hidden="1" outlineLevel="1" ht="13" customHeight="1">
      <c r="A8" s="4" t="inlineStr">
        <is>
          <t>Future data source</t>
        </is>
      </c>
      <c r="B8" s="5" t="inlineStr">
        <is>
          <t>Already live: every number resolves once the Data Model + measures are wired — see power-query/README.md and dax/README.md. Until then, cards show 0 and the chart is flat — expected, not an error.</t>
        </is>
      </c>
    </row>
    <row r="9" hidden="1" outlineLevel="1"/>
    <row r="10" ht="6" customHeight="1"/>
    <row r="11" ht="15" customHeight="1">
      <c r="B11" s="6" t="inlineStr">
        <is>
          <t>REVENUE</t>
        </is>
      </c>
      <c r="C11" s="7" t="n"/>
      <c r="D11" s="6" t="inlineStr">
        <is>
          <t>NET PROFIT</t>
        </is>
      </c>
      <c r="E11" s="7" t="n"/>
      <c r="F11" s="6" t="inlineStr">
        <is>
          <t>MARGIN %</t>
        </is>
      </c>
      <c r="G11" s="7" t="n"/>
      <c r="H11" s="6" t="inlineStr">
        <is>
          <t>CASH POSITION</t>
        </is>
      </c>
      <c r="I11" s="7" t="n"/>
      <c r="J11" s="6" t="inlineStr">
        <is>
          <t>ORDERS</t>
        </is>
      </c>
      <c r="K11" s="7" t="n"/>
    </row>
    <row r="12" ht="22" customHeight="1">
      <c r="B12" s="18">
        <f>CUBEVALUE("ThisWorkbookDataModel","[Measures].[Net Sales]")</f>
        <v/>
      </c>
      <c r="C12" s="7" t="n"/>
      <c r="D12" s="18">
        <f>CUBEVALUE("ThisWorkbookDataModel","[Measures].[Net Profit]")</f>
        <v/>
      </c>
      <c r="E12" s="7" t="n"/>
      <c r="F12" s="19">
        <f>CUBEVALUE("ThisWorkbookDataModel","[Measures].[Gross Margin %]")</f>
        <v/>
      </c>
      <c r="G12" s="7" t="n"/>
      <c r="H12" s="18">
        <f>CUBEVALUE("ThisWorkbookDataModel","[Measures].[Cash Position (Direct, Cumulative)]")</f>
        <v/>
      </c>
      <c r="I12" s="7" t="n"/>
      <c r="J12" s="18">
        <f>CUBEVALUE("ThisWorkbookDataModel","[Measures].[Order Count]")</f>
        <v/>
      </c>
      <c r="K12" s="7" t="n"/>
    </row>
    <row r="13" ht="22" customHeight="1">
      <c r="B13" s="7" t="n"/>
      <c r="C13" s="7" t="n"/>
      <c r="D13" s="7" t="n"/>
      <c r="E13" s="7" t="n"/>
      <c r="F13" s="7" t="n"/>
      <c r="G13" s="7" t="n"/>
      <c r="H13" s="7" t="n"/>
      <c r="I13" s="7" t="n"/>
      <c r="J13" s="7" t="n"/>
      <c r="K13" s="7" t="n"/>
    </row>
    <row r="15">
      <c r="B15" s="20" t="inlineStr">
        <is>
          <t>↓ Drill into Sales</t>
        </is>
      </c>
    </row>
    <row r="17">
      <c r="B17" s="11" t="inlineStr">
        <is>
          <t>MONTHLY TREND — NET SALES</t>
        </is>
      </c>
    </row>
    <row r="18">
      <c r="B18" s="13" t="inlineStr">
        <is>
          <t>Net Sales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22">
        <f>CUBEVALUE("ThisWorkbookDataModel","[Measures].[Net Sales]","[DIM_Date].[Year].&amp;["&amp;YEAR(EDATE(TODAY(),-11))&amp;"]","[DIM_Date].[Month].&amp;["&amp;MONTH(EDATE(TODAY(),-11))&amp;"]")</f>
        <v/>
      </c>
      <c r="D20" s="22">
        <f>CUBEVALUE("ThisWorkbookDataModel","[Measures].[Net Sales]","[DIM_Date].[Year].&amp;["&amp;YEAR(EDATE(TODAY(),-10))&amp;"]","[DIM_Date].[Month].&amp;["&amp;MONTH(EDATE(TODAY(),-10))&amp;"]")</f>
        <v/>
      </c>
      <c r="E20" s="22">
        <f>CUBEVALUE("ThisWorkbookDataModel","[Measures].[Net Sales]","[DIM_Date].[Year].&amp;["&amp;YEAR(EDATE(TODAY(),-9))&amp;"]","[DIM_Date].[Month].&amp;["&amp;MONTH(EDATE(TODAY(),-9))&amp;"]")</f>
        <v/>
      </c>
      <c r="F20" s="22">
        <f>CUBEVALUE("ThisWorkbookDataModel","[Measures].[Net Sales]","[DIM_Date].[Year].&amp;["&amp;YEAR(EDATE(TODAY(),-8))&amp;"]","[DIM_Date].[Month].&amp;["&amp;MONTH(EDATE(TODAY(),-8))&amp;"]")</f>
        <v/>
      </c>
      <c r="G20" s="22">
        <f>CUBEVALUE("ThisWorkbookDataModel","[Measures].[Net Sales]","[DIM_Date].[Year].&amp;["&amp;YEAR(EDATE(TODAY(),-7))&amp;"]","[DIM_Date].[Month].&amp;["&amp;MONTH(EDATE(TODAY(),-7))&amp;"]")</f>
        <v/>
      </c>
      <c r="H20" s="22">
        <f>CUBEVALUE("ThisWorkbookDataModel","[Measures].[Net Sales]","[DIM_Date].[Year].&amp;["&amp;YEAR(EDATE(TODAY(),-6))&amp;"]","[DIM_Date].[Month].&amp;["&amp;MONTH(EDATE(TODAY(),-6))&amp;"]")</f>
        <v/>
      </c>
      <c r="I20" s="22">
        <f>CUBEVALUE("ThisWorkbookDataModel","[Measures].[Net Sales]","[DIM_Date].[Year].&amp;["&amp;YEAR(EDATE(TODAY(),-5))&amp;"]","[DIM_Date].[Month].&amp;["&amp;MONTH(EDATE(TODAY(),-5))&amp;"]")</f>
        <v/>
      </c>
      <c r="J20" s="22">
        <f>CUBEVALUE("ThisWorkbookDataModel","[Measures].[Net Sales]","[DIM_Date].[Year].&amp;["&amp;YEAR(EDATE(TODAY(),-4))&amp;"]","[DIM_Date].[Month].&amp;["&amp;MONTH(EDATE(TODAY(),-4))&amp;"]")</f>
        <v/>
      </c>
      <c r="K20" s="22">
        <f>CUBEVALUE("ThisWorkbookDataModel","[Measures].[Net Sales]","[DIM_Date].[Year].&amp;["&amp;YEAR(EDATE(TODAY(),-3))&amp;"]","[DIM_Date].[Month].&amp;["&amp;MONTH(EDATE(TODAY(),-3))&amp;"]")</f>
        <v/>
      </c>
      <c r="L20" s="22">
        <f>CUBEVALUE("ThisWorkbookDataModel","[Measures].[Net Sales]","[DIM_Date].[Year].&amp;["&amp;YEAR(EDATE(TODAY(),-2))&amp;"]","[DIM_Date].[Month].&amp;["&amp;MONTH(EDATE(TODAY(),-2))&amp;"]")</f>
        <v/>
      </c>
      <c r="M20" s="22">
        <f>CUBEVALUE("ThisWorkbookDataModel","[Measures].[Net Sales]","[DIM_Date].[Year].&amp;["&amp;YEAR(EDATE(TODAY(),-1))&amp;"]","[DIM_Date].[Month].&amp;["&amp;MONTH(EDATE(TODAY(),-1))&amp;"]")</f>
        <v/>
      </c>
      <c r="N20" s="22">
        <f>CUBEVALUE("ThisWorkbookDataModel","[Measures].[Net Sales]","[DIM_Date].[Year].&amp;["&amp;YEAR(EDATE(TODAY(),0))&amp;"]","[DIM_Date].[Month].&amp;["&amp;MONTH(EDATE(TODAY(),0))&amp;"]")</f>
        <v/>
      </c>
    </row>
    <row r="38">
      <c r="B38" s="11" t="inlineStr">
        <is>
          <t>TOP 5 PRODUCTS  (by Net Sales)</t>
        </is>
      </c>
    </row>
    <row r="39">
      <c r="B39" s="11" t="inlineStr">
        <is>
          <t>Top 5 Products</t>
        </is>
      </c>
      <c r="F39" s="23">
        <f>CUBESET("ThisWorkbookDataModel","{[DIM_Product].[Title].Children}","Top 5 Products","BDESC","[Measures].[Net Sales]")</f>
        <v/>
      </c>
    </row>
    <row r="40">
      <c r="B40" s="24">
        <f>CUBERANKEDMEMBER("ThisWorkbookDataModel",$F$39,1)</f>
        <v/>
      </c>
      <c r="D40" s="25">
        <f>CUBEVALUE("ThisWorkbookDataModel","[Measures].[Net Sales]",CUBERANKEDMEMBER("ThisWorkbookDataModel",$F$39,1))</f>
        <v/>
      </c>
    </row>
    <row r="41">
      <c r="B41" s="24">
        <f>CUBERANKEDMEMBER("ThisWorkbookDataModel",$F$39,2)</f>
        <v/>
      </c>
      <c r="D41" s="25">
        <f>CUBEVALUE("ThisWorkbookDataModel","[Measures].[Net Sales]",CUBERANKEDMEMBER("ThisWorkbookDataModel",$F$39,2))</f>
        <v/>
      </c>
    </row>
    <row r="42">
      <c r="B42" s="24">
        <f>CUBERANKEDMEMBER("ThisWorkbookDataModel",$F$39,3)</f>
        <v/>
      </c>
      <c r="D42" s="25">
        <f>CUBEVALUE("ThisWorkbookDataModel","[Measures].[Net Sales]",CUBERANKEDMEMBER("ThisWorkbookDataModel",$F$39,3))</f>
        <v/>
      </c>
    </row>
    <row r="43">
      <c r="B43" s="24">
        <f>CUBERANKEDMEMBER("ThisWorkbookDataModel",$F$39,4)</f>
        <v/>
      </c>
      <c r="D43" s="25">
        <f>CUBEVALUE("ThisWorkbookDataModel","[Measures].[Net Sales]",CUBERANKEDMEMBER("ThisWorkbookDataModel",$F$39,4))</f>
        <v/>
      </c>
    </row>
    <row r="44">
      <c r="B44" s="24">
        <f>CUBERANKEDMEMBER("ThisWorkbookDataModel",$F$39,5)</f>
        <v/>
      </c>
      <c r="D44" s="25">
        <f>CUBEVALUE("ThisWorkbookDataModel","[Measures].[Net Sales]",CUBERANKEDMEMBER("ThisWorkbookDataModel",$F$39,5))</f>
        <v/>
      </c>
    </row>
    <row r="46">
      <c r="B46" s="11" t="inlineStr">
        <is>
          <t>KEY INSIGHTS</t>
        </is>
      </c>
    </row>
    <row r="47" ht="16" customHeight="1">
      <c r="B47" s="26">
        <f>"•  "&amp;IFERROR('BI_Insights'!D15,"(resolves once Data Model is wired)")</f>
        <v/>
      </c>
    </row>
    <row r="48" ht="16" customHeight="1">
      <c r="B48" s="26">
        <f>"•  "&amp;IFERROR('BI_Insights'!D16,"(resolves once Data Model is wired)")</f>
        <v/>
      </c>
    </row>
    <row r="49" ht="16" customHeight="1">
      <c r="B49" s="26">
        <f>"•  "&amp;IFERROR('BI_Insights'!D19,"(resolves once Data Model is wired)")</f>
        <v/>
      </c>
    </row>
    <row r="50" ht="16" customHeight="1">
      <c r="B50"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22">
    <mergeCell ref="B4:L4"/>
    <mergeCell ref="F11:G11"/>
    <mergeCell ref="B49:K49"/>
    <mergeCell ref="B7:L7"/>
    <mergeCell ref="D12:E13"/>
    <mergeCell ref="A3:L3"/>
    <mergeCell ref="A2:L2"/>
    <mergeCell ref="H12:I13"/>
    <mergeCell ref="B11:C11"/>
    <mergeCell ref="J12:K13"/>
    <mergeCell ref="B50:K50"/>
    <mergeCell ref="D11:E11"/>
    <mergeCell ref="B47:K47"/>
    <mergeCell ref="B8:L8"/>
    <mergeCell ref="H11:I11"/>
    <mergeCell ref="J11:K11"/>
    <mergeCell ref="B48:K48"/>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15" r:id="rId2"/>
  </hyperlinks>
  <pageMargins left="0.3" right="0.3" top="0.4" bottom="0.4" header="0.5" footer="0.5"/>
  <pageSetup orientation="landscape" fitToHeight="0" fitToWidth="1"/>
  <drawing xmlns:r="http://schemas.openxmlformats.org/officeDocument/2006/relationships" r:id="rId3"/>
</worksheet>
</file>

<file path=xl/worksheets/sheet3.xml><?xml version="1.0" encoding="utf-8"?>
<worksheet xmlns="http://schemas.openxmlformats.org/spreadsheetml/2006/main">
  <sheetPr>
    <tabColor rgb="001F4E78"/>
    <outlinePr applyStyles="1" summaryBelow="0" summaryRight="1"/>
    <pageSetUpPr fitToPage="1"/>
  </sheetPr>
  <dimension ref="A1:L9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17"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Management view: every KPI category, Budget/Forecast/Alerts summaries, and Business Insights — the full operational picture, unlike Partner Dashboard's deliberately minimal set.</t>
        </is>
      </c>
    </row>
    <row r="5" hidden="1" outlineLevel="1" ht="13" customHeight="1">
      <c r="A5" s="4" t="inlineStr">
        <is>
          <t>Input tables</t>
        </is>
      </c>
      <c r="B5" s="5" t="inlineStr">
        <is>
          <t>The Data Model (dax/MEASURES.md, dax/PHASE5_MEASURES_ADDENDUM.md) via CUBEVALUE; BI_Alerts, BI_Forecast, BI_Insights for their respective sections.</t>
        </is>
      </c>
    </row>
    <row r="6" hidden="1" outlineLevel="1" ht="13" customHeight="1">
      <c r="A6" s="4" t="inlineStr">
        <is>
          <t>Output tables</t>
        </is>
      </c>
      <c r="B6" s="5" t="inlineStr">
        <is>
          <t>9 KPI-card sections + Budget/Forecast/Alerts/Insights reference tables.</t>
        </is>
      </c>
    </row>
    <row r="7" hidden="1" outlineLevel="1" ht="13" customHeight="1">
      <c r="A7" s="4" t="inlineStr">
        <is>
          <t>Relationships</t>
        </is>
      </c>
      <c r="B7" s="5" t="inlineStr">
        <is>
          <t>Reads the Data Model directly for KPI cards; reads BI_Alerts/BI_Forecast/BI_Insights directly (simple cell references, not re-derived CUBE formulas) for those three sections.</t>
        </is>
      </c>
    </row>
    <row r="8" hidden="1" outlineLevel="1" ht="13" customHeight="1">
      <c r="A8" s="4" t="inlineStr">
        <is>
          <t>Future data source</t>
        </is>
      </c>
      <c r="B8" s="5" t="inlineStr">
        <is>
          <t>Already live: every number resolves once the Data Model + measures are wired — see power-query/README.md and dax/README.md.</t>
        </is>
      </c>
    </row>
    <row r="9" hidden="1" outlineLevel="1"/>
    <row r="10" ht="6" customHeight="1"/>
    <row r="11">
      <c r="B11" s="11" t="inlineStr">
        <is>
          <t>FINANCIAL KPIs</t>
        </is>
      </c>
    </row>
    <row r="12" ht="15" customHeight="1">
      <c r="B12" s="6" t="inlineStr">
        <is>
          <t>NET SALES</t>
        </is>
      </c>
      <c r="C12" s="7" t="n"/>
      <c r="D12" s="6" t="inlineStr">
        <is>
          <t>GROSS PROFIT</t>
        </is>
      </c>
      <c r="E12" s="7" t="n"/>
      <c r="F12" s="6" t="inlineStr">
        <is>
          <t>NET PROFIT</t>
        </is>
      </c>
      <c r="G12" s="7" t="n"/>
      <c r="H12" s="6" t="inlineStr">
        <is>
          <t>CASH POSITION</t>
        </is>
      </c>
      <c r="I12" s="7" t="n"/>
    </row>
    <row r="13" ht="22" customHeight="1">
      <c r="B13" s="18">
        <f>CUBEVALUE("ThisWorkbookDataModel","[Measures].[Net Sales]")</f>
        <v/>
      </c>
      <c r="C13" s="7" t="n"/>
      <c r="D13" s="18">
        <f>CUBEVALUE("ThisWorkbookDataModel","[Measures].[Gross Profit]")</f>
        <v/>
      </c>
      <c r="E13" s="7" t="n"/>
      <c r="F13" s="18">
        <f>CUBEVALUE("ThisWorkbookDataModel","[Measures].[Net Profit]")</f>
        <v/>
      </c>
      <c r="G13" s="7" t="n"/>
      <c r="H13" s="18">
        <f>CUBEVALUE("ThisWorkbookDataModel","[Measures].[Cash Position (Direct, Cumulative)]")</f>
        <v/>
      </c>
      <c r="I13" s="7" t="n"/>
    </row>
    <row r="14" ht="22" customHeight="1">
      <c r="B14" s="7" t="n"/>
      <c r="C14" s="7" t="n"/>
      <c r="D14" s="7" t="n"/>
      <c r="E14" s="7" t="n"/>
      <c r="F14" s="7" t="n"/>
      <c r="G14" s="7" t="n"/>
      <c r="H14" s="7" t="n"/>
      <c r="I14" s="7" t="n"/>
    </row>
    <row r="17">
      <c r="B17" s="11" t="inlineStr">
        <is>
          <t>SALES KPIs</t>
        </is>
      </c>
    </row>
    <row r="18" ht="15" customHeight="1">
      <c r="B18" s="6" t="inlineStr">
        <is>
          <t>ORDER COUNT</t>
        </is>
      </c>
      <c r="C18" s="7" t="n"/>
      <c r="D18" s="6" t="inlineStr">
        <is>
          <t>AVERAGE ORDER VALUE</t>
        </is>
      </c>
      <c r="E18" s="7" t="n"/>
      <c r="F18" s="6" t="inlineStr">
        <is>
          <t>UNITS SOLD</t>
        </is>
      </c>
      <c r="G18" s="7" t="n"/>
      <c r="H18" s="6" t="inlineStr">
        <is>
          <t>REVENUE GROWTH % YOY</t>
        </is>
      </c>
      <c r="I18" s="7" t="n"/>
    </row>
    <row r="19" ht="22" customHeight="1">
      <c r="B19" s="18">
        <f>CUBEVALUE("ThisWorkbookDataModel","[Measures].[Order Count]")</f>
        <v/>
      </c>
      <c r="C19" s="7" t="n"/>
      <c r="D19" s="18">
        <f>CUBEVALUE("ThisWorkbookDataModel","[Measures].[Average Order Value]")</f>
        <v/>
      </c>
      <c r="E19" s="7" t="n"/>
      <c r="F19" s="18">
        <f>CUBEVALUE("ThisWorkbookDataModel","[Measures].[Units Sold]")</f>
        <v/>
      </c>
      <c r="G19" s="7" t="n"/>
      <c r="H19" s="19">
        <f>CUBEVALUE("ThisWorkbookDataModel","[Measures].[Revenue Growth % (YoY)]")</f>
        <v/>
      </c>
      <c r="I19" s="7" t="n"/>
    </row>
    <row r="20" ht="22" customHeight="1">
      <c r="B20" s="7" t="n"/>
      <c r="C20" s="7" t="n"/>
      <c r="D20" s="7" t="n"/>
      <c r="E20" s="7" t="n"/>
      <c r="F20" s="7" t="n"/>
      <c r="G20" s="7" t="n"/>
      <c r="H20" s="7" t="n"/>
      <c r="I20" s="7" t="n"/>
    </row>
    <row r="22">
      <c r="B22" s="20" t="inlineStr">
        <is>
          <t>↓ Drill into Sales</t>
        </is>
      </c>
    </row>
    <row r="24">
      <c r="B24" s="11" t="inlineStr">
        <is>
          <t>CUSTOMER KPIs</t>
        </is>
      </c>
    </row>
    <row r="25" ht="15" customHeight="1">
      <c r="B25" s="6" t="inlineStr">
        <is>
          <t>NEW CUSTOMERS</t>
        </is>
      </c>
      <c r="C25" s="7" t="n"/>
      <c r="D25" s="6" t="inlineStr">
        <is>
          <t>RETURNING CUSTOMERS</t>
        </is>
      </c>
      <c r="E25" s="7" t="n"/>
      <c r="F25" s="6" t="inlineStr">
        <is>
          <t>CLV (HISTORICAL)</t>
        </is>
      </c>
      <c r="G25" s="7" t="n"/>
      <c r="H25" s="6" t="inlineStr">
        <is>
          <t>RETENTION RATE (MOM)</t>
        </is>
      </c>
      <c r="I25" s="7" t="n"/>
    </row>
    <row r="26" ht="22" customHeight="1">
      <c r="B26" s="18">
        <f>CUBEVALUE("ThisWorkbookDataModel","[Measures].[New Customers]")</f>
        <v/>
      </c>
      <c r="C26" s="7" t="n"/>
      <c r="D26" s="18">
        <f>CUBEVALUE("ThisWorkbookDataModel","[Measures].[Returning Customers]")</f>
        <v/>
      </c>
      <c r="E26" s="7" t="n"/>
      <c r="F26" s="18">
        <f>CUBEVALUE("ThisWorkbookDataModel","[Measures].[Customer Lifetime Value (Historical)]")</f>
        <v/>
      </c>
      <c r="G26" s="7" t="n"/>
      <c r="H26" s="19">
        <f>CUBEVALUE("ThisWorkbookDataModel","[Measures].[Customer Retention Rate (MoM)]")</f>
        <v/>
      </c>
      <c r="I26" s="7" t="n"/>
    </row>
    <row r="27" ht="22" customHeight="1">
      <c r="B27" s="7" t="n"/>
      <c r="C27" s="7" t="n"/>
      <c r="D27" s="7" t="n"/>
      <c r="E27" s="7" t="n"/>
      <c r="F27" s="7" t="n"/>
      <c r="G27" s="7" t="n"/>
      <c r="H27" s="7" t="n"/>
      <c r="I27" s="7" t="n"/>
    </row>
    <row r="29">
      <c r="B29" s="20" t="inlineStr">
        <is>
          <t>↓ Drill into Customers</t>
        </is>
      </c>
    </row>
    <row r="31">
      <c r="B31" s="11" t="inlineStr">
        <is>
          <t>INVENTORY KPIs</t>
        </is>
      </c>
    </row>
    <row r="32" ht="15" customHeight="1">
      <c r="B32" s="6" t="inlineStr">
        <is>
          <t>INVENTORY VALUE</t>
        </is>
      </c>
      <c r="C32" s="7" t="n"/>
      <c r="D32" s="6" t="inlineStr">
        <is>
          <t>INVENTORY TURNOVER</t>
        </is>
      </c>
      <c r="E32" s="7" t="n"/>
      <c r="F32" s="6" t="inlineStr">
        <is>
          <t>DAYS OF INVENTORY</t>
        </is>
      </c>
      <c r="G32" s="7" t="n"/>
      <c r="H32" s="6" t="inlineStr">
        <is>
          <t>SLOW MOVING SKUS</t>
        </is>
      </c>
      <c r="I32" s="7" t="n"/>
    </row>
    <row r="33" ht="22" customHeight="1">
      <c r="B33" s="18">
        <f>CUBEVALUE("ThisWorkbookDataModel","[Measures].[Inventory Value]")</f>
        <v/>
      </c>
      <c r="C33" s="7" t="n"/>
      <c r="D33" s="27">
        <f>CUBEVALUE("ThisWorkbookDataModel","[Measures].[Inventory Turnover]")</f>
        <v/>
      </c>
      <c r="E33" s="7" t="n"/>
      <c r="F33" s="28">
        <f>CUBEVALUE("ThisWorkbookDataModel","[Measures].[Days of Inventory]")</f>
        <v/>
      </c>
      <c r="G33" s="7" t="n"/>
      <c r="H33" s="28">
        <f>CUBEVALUE("ThisWorkbookDataModel","[Measures].[Slow Moving SKU Count]")</f>
        <v/>
      </c>
      <c r="I33" s="7" t="n"/>
    </row>
    <row r="34" ht="22" customHeight="1">
      <c r="B34" s="7" t="n"/>
      <c r="C34" s="7" t="n"/>
      <c r="D34" s="7" t="n"/>
      <c r="E34" s="7" t="n"/>
      <c r="F34" s="7" t="n"/>
      <c r="G34" s="7" t="n"/>
      <c r="H34" s="7" t="n"/>
      <c r="I34" s="7" t="n"/>
    </row>
    <row r="36">
      <c r="B36" s="20" t="inlineStr">
        <is>
          <t>↓ Drill into Inventory</t>
        </is>
      </c>
    </row>
    <row r="38">
      <c r="B38" s="11" t="inlineStr">
        <is>
          <t>PROFITABILITY</t>
        </is>
      </c>
    </row>
    <row r="39" ht="15" customHeight="1">
      <c r="B39" s="6" t="inlineStr">
        <is>
          <t>GROSS MARGIN %</t>
        </is>
      </c>
      <c r="C39" s="7" t="n"/>
      <c r="D39" s="6" t="inlineStr">
        <is>
          <t>NET PROFIT MARGIN %</t>
        </is>
      </c>
      <c r="E39" s="7" t="n"/>
      <c r="F39" s="6" t="inlineStr">
        <is>
          <t>BREAK-EVEN NET SALES</t>
        </is>
      </c>
      <c r="G39" s="7" t="n"/>
    </row>
    <row r="40" ht="22" customHeight="1">
      <c r="B40" s="19">
        <f>CUBEVALUE("ThisWorkbookDataModel","[Measures].[Gross Margin %]")</f>
        <v/>
      </c>
      <c r="C40" s="7" t="n"/>
      <c r="D40" s="19">
        <f>CUBEVALUE("ThisWorkbookDataModel","[Measures].[Net Profit Margin %]")</f>
        <v/>
      </c>
      <c r="E40" s="7" t="n"/>
      <c r="F40" s="18">
        <f>CUBEVALUE("ThisWorkbookDataModel","[Measures].[Break-Even Net Sales]")</f>
        <v/>
      </c>
      <c r="G40" s="7" t="n"/>
    </row>
    <row r="41" ht="22" customHeight="1">
      <c r="B41" s="7" t="n"/>
      <c r="C41" s="7" t="n"/>
      <c r="D41" s="7" t="n"/>
      <c r="E41" s="7" t="n"/>
      <c r="F41" s="7" t="n"/>
      <c r="G41" s="7" t="n"/>
    </row>
    <row r="43">
      <c r="B43" s="20" t="inlineStr">
        <is>
          <t>↓ Drill into Profitability</t>
        </is>
      </c>
    </row>
    <row r="45">
      <c r="B45" s="11" t="inlineStr">
        <is>
          <t>EXPENSE ANALYSIS</t>
        </is>
      </c>
    </row>
    <row r="46" ht="15" customHeight="1">
      <c r="B46" s="6" t="inlineStr">
        <is>
          <t>OPERATING EXPENSES</t>
        </is>
      </c>
      <c r="C46" s="7" t="n"/>
      <c r="D46" s="6" t="inlineStr">
        <is>
          <t>EXPENSE RATIO %</t>
        </is>
      </c>
      <c r="E46" s="7" t="n"/>
      <c r="F46" s="6" t="inlineStr">
        <is>
          <t>EXPENSE ACTUAL VS BUDGET</t>
        </is>
      </c>
      <c r="G46" s="7" t="n"/>
    </row>
    <row r="47" ht="22" customHeight="1">
      <c r="B47" s="18">
        <f>CUBEVALUE("ThisWorkbookDataModel","[Measures].[Operating Expenses]")</f>
        <v/>
      </c>
      <c r="C47" s="7" t="n"/>
      <c r="D47" s="19">
        <f>CUBEVALUE("ThisWorkbookDataModel","[Measures].[Operating Expense Ratio %]")</f>
        <v/>
      </c>
      <c r="E47" s="7" t="n"/>
      <c r="F47" s="18">
        <f>CUBEVALUE("ThisWorkbookDataModel","[Measures].[Expense Actual vs Budget]")</f>
        <v/>
      </c>
      <c r="G47" s="7" t="n"/>
    </row>
    <row r="48" ht="22" customHeight="1">
      <c r="B48" s="7" t="n"/>
      <c r="C48" s="7" t="n"/>
      <c r="D48" s="7" t="n"/>
      <c r="E48" s="7" t="n"/>
      <c r="F48" s="7" t="n"/>
      <c r="G48" s="7" t="n"/>
    </row>
    <row r="50">
      <c r="B50" s="20" t="inlineStr">
        <is>
          <t>↓ Drill into Expenses</t>
        </is>
      </c>
    </row>
    <row r="52">
      <c r="B52" s="11" t="inlineStr">
        <is>
          <t>BUDGET  (Actual vs Budget, current period)</t>
        </is>
      </c>
    </row>
    <row r="53">
      <c r="B53" s="29" t="inlineStr">
        <is>
          <t>Category</t>
        </is>
      </c>
      <c r="C53" s="29" t="inlineStr">
        <is>
          <t>Actual</t>
        </is>
      </c>
      <c r="D53" s="29" t="inlineStr">
        <is>
          <t>Budget</t>
        </is>
      </c>
      <c r="E53" s="29" t="inlineStr">
        <is>
          <t>Variance</t>
        </is>
      </c>
    </row>
    <row r="54">
      <c r="B54" s="30" t="inlineStr">
        <is>
          <t>Revenue</t>
        </is>
      </c>
      <c r="C54" s="31">
        <f>CUBEVALUE("ThisWorkbookDataModel","[Measures].[Net Sales]")</f>
        <v/>
      </c>
      <c r="D54" s="31">
        <f>CUBEVALUE("ThisWorkbookDataModel","[Measures].[Revenue Budget (Period)]")</f>
        <v/>
      </c>
      <c r="E54" s="31">
        <f>CUBEVALUE("ThisWorkbookDataModel","[Measures].[Revenue Actual vs Budget]")</f>
        <v/>
      </c>
    </row>
    <row r="55">
      <c r="B55" s="30" t="inlineStr">
        <is>
          <t>Expense</t>
        </is>
      </c>
      <c r="C55" s="31">
        <f>CUBEVALUE("ThisWorkbookDataModel","[Measures].[Operating Expenses]")</f>
        <v/>
      </c>
      <c r="D55" s="31">
        <f>CUBEVALUE("ThisWorkbookDataModel","[Measures].[Expense Budget (Period)]")</f>
        <v/>
      </c>
      <c r="E55" s="31">
        <f>CUBEVALUE("ThisWorkbookDataModel","[Measures].[Expense Actual vs Budget]")</f>
        <v/>
      </c>
    </row>
    <row r="56">
      <c r="B56" s="30" t="inlineStr">
        <is>
          <t>Purchasing</t>
        </is>
      </c>
      <c r="C56" s="31">
        <f>CUBEVALUE("ThisWorkbookDataModel","[Measures].[Cash Paid for Purchases]")</f>
        <v/>
      </c>
      <c r="D56" s="31">
        <f>CUBEVALUE("ThisWorkbookDataModel","[Measures].[Purchasing Budget (Period)]")</f>
        <v/>
      </c>
      <c r="E56" s="31">
        <f>CUBEVALUE("ThisWorkbookDataModel","[Measures].[Purchasing Actual vs Budget]")</f>
        <v/>
      </c>
    </row>
    <row r="57">
      <c r="B57" s="30" t="inlineStr">
        <is>
          <t>Profit</t>
        </is>
      </c>
      <c r="C57" s="31">
        <f>CUBEVALUE("ThisWorkbookDataModel","[Measures].[Net Profit]")</f>
        <v/>
      </c>
      <c r="D57" s="31">
        <f>CUBEVALUE("ThisWorkbookDataModel","[Measures].[Profit Budget (Period)]")</f>
        <v/>
      </c>
      <c r="E57" s="31">
        <f>CUBEVALUE("ThisWorkbookDataModel","[Measures].[Profit Actual vs Budget]")</f>
        <v/>
      </c>
    </row>
    <row r="59">
      <c r="B59" s="11" t="inlineStr">
        <is>
          <t>FORECAST  (next period, rolling linear trend — see BI_Forecast)</t>
        </is>
      </c>
    </row>
    <row r="60">
      <c r="B60" s="29" t="inlineStr">
        <is>
          <t>Metric</t>
        </is>
      </c>
      <c r="C60" s="29" t="inlineStr">
        <is>
          <t>Forecast (Next Month)</t>
        </is>
      </c>
    </row>
    <row r="61">
      <c r="B61" s="24" t="inlineStr">
        <is>
          <t>Sales</t>
        </is>
      </c>
      <c r="C61" s="25">
        <f>'BI_Forecast'!E37</f>
        <v/>
      </c>
    </row>
    <row r="62">
      <c r="B62" s="24" t="inlineStr">
        <is>
          <t>Expenses</t>
        </is>
      </c>
      <c r="C62" s="25">
        <f>'BI_Forecast'!E38</f>
        <v/>
      </c>
    </row>
    <row r="63">
      <c r="B63" s="24" t="inlineStr">
        <is>
          <t>Profit</t>
        </is>
      </c>
      <c r="C63" s="25">
        <f>'BI_Forecast'!E39</f>
        <v/>
      </c>
    </row>
    <row r="64">
      <c r="B64" s="24" t="inlineStr">
        <is>
          <t>Inventory</t>
        </is>
      </c>
      <c r="C64" s="25">
        <f>'BI_Forecast'!E40</f>
        <v/>
      </c>
    </row>
    <row r="65">
      <c r="B65" s="24" t="inlineStr">
        <is>
          <t>Cash</t>
        </is>
      </c>
      <c r="C65" s="25">
        <f>'BI_Forecast'!E41</f>
        <v/>
      </c>
    </row>
    <row r="67">
      <c r="B67" s="11" t="inlineStr">
        <is>
          <t>ALERTS  (see 14_Data_Quality and BI_Alerts for full detail)</t>
        </is>
      </c>
    </row>
    <row r="68">
      <c r="B68" s="29" t="inlineStr">
        <is>
          <t>Alert</t>
        </is>
      </c>
      <c r="C68" s="29" t="inlineStr">
        <is>
          <t>Status</t>
        </is>
      </c>
      <c r="D68" s="29" t="inlineStr">
        <is>
          <t>Severity</t>
        </is>
      </c>
    </row>
    <row r="69">
      <c r="B69" s="24">
        <f>'BI_Alerts'!B15</f>
        <v/>
      </c>
      <c r="C69" s="24">
        <f>'BI_Alerts'!E15</f>
        <v/>
      </c>
      <c r="D69" s="24">
        <f>'BI_Alerts'!F15</f>
        <v/>
      </c>
    </row>
    <row r="70">
      <c r="B70" s="24">
        <f>'BI_Alerts'!B16</f>
        <v/>
      </c>
      <c r="C70" s="24">
        <f>'BI_Alerts'!E16</f>
        <v/>
      </c>
      <c r="D70" s="24">
        <f>'BI_Alerts'!F16</f>
        <v/>
      </c>
    </row>
    <row r="71">
      <c r="B71" s="24">
        <f>'BI_Alerts'!B17</f>
        <v/>
      </c>
      <c r="C71" s="24">
        <f>'BI_Alerts'!E17</f>
        <v/>
      </c>
      <c r="D71" s="24">
        <f>'BI_Alerts'!F17</f>
        <v/>
      </c>
    </row>
    <row r="72">
      <c r="B72" s="24">
        <f>'BI_Alerts'!B18</f>
        <v/>
      </c>
      <c r="C72" s="24">
        <f>'BI_Alerts'!E18</f>
        <v/>
      </c>
      <c r="D72" s="24">
        <f>'BI_Alerts'!F18</f>
        <v/>
      </c>
    </row>
    <row r="73">
      <c r="B73" s="24">
        <f>'BI_Alerts'!B19</f>
        <v/>
      </c>
      <c r="C73" s="24">
        <f>'BI_Alerts'!E19</f>
        <v/>
      </c>
      <c r="D73" s="24">
        <f>'BI_Alerts'!F19</f>
        <v/>
      </c>
    </row>
    <row r="74">
      <c r="B74" s="24">
        <f>'BI_Alerts'!B20</f>
        <v/>
      </c>
      <c r="C74" s="24">
        <f>'BI_Alerts'!E20</f>
        <v/>
      </c>
      <c r="D74" s="24">
        <f>'BI_Alerts'!F20</f>
        <v/>
      </c>
    </row>
    <row r="75">
      <c r="B75" s="24">
        <f>'BI_Alerts'!B21</f>
        <v/>
      </c>
      <c r="C75" s="24">
        <f>'BI_Alerts'!E21</f>
        <v/>
      </c>
      <c r="D75" s="24">
        <f>'BI_Alerts'!F21</f>
        <v/>
      </c>
    </row>
    <row r="76">
      <c r="B76" s="24">
        <f>'BI_Alerts'!B22</f>
        <v/>
      </c>
      <c r="C76" s="24">
        <f>'BI_Alerts'!E22</f>
        <v/>
      </c>
      <c r="D76" s="24">
        <f>'BI_Alerts'!F22</f>
        <v/>
      </c>
    </row>
    <row r="77">
      <c r="B77" s="24">
        <f>'BI_Alerts'!B23</f>
        <v/>
      </c>
      <c r="C77" s="24">
        <f>'BI_Alerts'!E23</f>
        <v/>
      </c>
      <c r="D77" s="24">
        <f>'BI_Alerts'!F23</f>
        <v/>
      </c>
    </row>
    <row r="78">
      <c r="B78" s="24">
        <f>'BI_Alerts'!B24</f>
        <v/>
      </c>
      <c r="C78" s="24">
        <f>'BI_Alerts'!E24</f>
        <v/>
      </c>
      <c r="D78" s="24">
        <f>'BI_Alerts'!F24</f>
        <v/>
      </c>
    </row>
    <row r="79">
      <c r="B79" s="24">
        <f>'BI_Alerts'!B25</f>
        <v/>
      </c>
      <c r="C79" s="24">
        <f>'BI_Alerts'!E25</f>
        <v/>
      </c>
      <c r="D79" s="24">
        <f>'BI_Alerts'!F25</f>
        <v/>
      </c>
    </row>
    <row r="80">
      <c r="B80" s="24">
        <f>'BI_Alerts'!B26</f>
        <v/>
      </c>
      <c r="C80" s="24">
        <f>'BI_Alerts'!E26</f>
        <v/>
      </c>
      <c r="D80" s="24">
        <f>'BI_Alerts'!F26</f>
        <v/>
      </c>
    </row>
    <row r="82">
      <c r="B82" s="11" t="inlineStr">
        <is>
          <t>BUSINESS INSIGHTS</t>
        </is>
      </c>
    </row>
    <row r="83" ht="16" customHeight="1">
      <c r="B83" s="26">
        <f>"•  "&amp;IFERROR('BI_Insights'!D15,"(resolves once Data Model is wired)")</f>
        <v/>
      </c>
    </row>
    <row r="84" ht="16" customHeight="1">
      <c r="B84" s="26">
        <f>"•  "&amp;IFERROR('BI_Insights'!D16,"(resolves once Data Model is wired)")</f>
        <v/>
      </c>
    </row>
    <row r="85" ht="16" customHeight="1">
      <c r="B85" s="26">
        <f>"•  "&amp;IFERROR('BI_Insights'!D17,"(resolves once Data Model is wired)")</f>
        <v/>
      </c>
    </row>
    <row r="86" ht="16" customHeight="1">
      <c r="B86" s="26">
        <f>"•  "&amp;IFERROR('BI_Insights'!D18,"(resolves once Data Model is wired)")</f>
        <v/>
      </c>
    </row>
    <row r="87" ht="16" customHeight="1">
      <c r="B87" s="26">
        <f>"•  "&amp;IFERROR('BI_Insights'!D19,"(resolves once Data Model is wired)")</f>
        <v/>
      </c>
    </row>
    <row r="88" ht="16" customHeight="1">
      <c r="B88" s="26">
        <f>"•  "&amp;IFERROR('BI_Insights'!D20,"(resolves once Data Model is wired)")</f>
        <v/>
      </c>
    </row>
    <row r="89" ht="16" customHeight="1">
      <c r="B89" s="26">
        <f>"•  "&amp;IFERROR('BI_Insights'!D21,"(resolves once Data Model is wired)")</f>
        <v/>
      </c>
    </row>
    <row r="90" ht="16" customHeight="1">
      <c r="B90" s="26">
        <f>"•  "&amp;IFERROR('BI_Insights'!D22,"(resolves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60">
    <mergeCell ref="B4:L4"/>
    <mergeCell ref="B13:C14"/>
    <mergeCell ref="F33:G34"/>
    <mergeCell ref="D47:E48"/>
    <mergeCell ref="F47:G48"/>
    <mergeCell ref="B25:C25"/>
    <mergeCell ref="B84:K84"/>
    <mergeCell ref="B7:L7"/>
    <mergeCell ref="F25:G25"/>
    <mergeCell ref="B19:C20"/>
    <mergeCell ref="B46:C46"/>
    <mergeCell ref="B83:K83"/>
    <mergeCell ref="D46:E46"/>
    <mergeCell ref="H19:I20"/>
    <mergeCell ref="B18:C18"/>
    <mergeCell ref="A3:L3"/>
    <mergeCell ref="F13:G14"/>
    <mergeCell ref="D33:E34"/>
    <mergeCell ref="B89:K89"/>
    <mergeCell ref="H13:I14"/>
    <mergeCell ref="B12:C12"/>
    <mergeCell ref="B39:C39"/>
    <mergeCell ref="A2:L2"/>
    <mergeCell ref="H25:I25"/>
    <mergeCell ref="F12:G12"/>
    <mergeCell ref="B85:K85"/>
    <mergeCell ref="B33:C34"/>
    <mergeCell ref="B40:C41"/>
    <mergeCell ref="F18:G18"/>
    <mergeCell ref="D32:E32"/>
    <mergeCell ref="F32:G32"/>
    <mergeCell ref="D19:E20"/>
    <mergeCell ref="B90:K90"/>
    <mergeCell ref="D26:E27"/>
    <mergeCell ref="F19:G20"/>
    <mergeCell ref="B8:L8"/>
    <mergeCell ref="H33:I34"/>
    <mergeCell ref="H32:I32"/>
    <mergeCell ref="B26:C27"/>
    <mergeCell ref="H26:I27"/>
    <mergeCell ref="F46:G46"/>
    <mergeCell ref="D18:E18"/>
    <mergeCell ref="D40:E41"/>
    <mergeCell ref="B86:K86"/>
    <mergeCell ref="F40:G41"/>
    <mergeCell ref="D12:E12"/>
    <mergeCell ref="D39:E39"/>
    <mergeCell ref="D25:E25"/>
    <mergeCell ref="B47:C48"/>
    <mergeCell ref="F39:G39"/>
    <mergeCell ref="H12:I12"/>
    <mergeCell ref="B6:L6"/>
    <mergeCell ref="B88:K88"/>
    <mergeCell ref="A1:L1"/>
    <mergeCell ref="H18:I18"/>
    <mergeCell ref="B5:L5"/>
    <mergeCell ref="B32:C32"/>
    <mergeCell ref="B87:K87"/>
    <mergeCell ref="F26:G27"/>
    <mergeCell ref="D13:E14"/>
  </mergeCells>
  <hyperlinks>
    <hyperlink xmlns:r="http://schemas.openxmlformats.org/officeDocument/2006/relationships" ref="A2" r:id="rId1"/>
    <hyperlink xmlns:r="http://schemas.openxmlformats.org/officeDocument/2006/relationships" ref="B22" r:id="rId2"/>
    <hyperlink xmlns:r="http://schemas.openxmlformats.org/officeDocument/2006/relationships" ref="B29" r:id="rId3"/>
    <hyperlink xmlns:r="http://schemas.openxmlformats.org/officeDocument/2006/relationships" ref="B36" r:id="rId4"/>
    <hyperlink xmlns:r="http://schemas.openxmlformats.org/officeDocument/2006/relationships" ref="B43" r:id="rId5"/>
    <hyperlink xmlns:r="http://schemas.openxmlformats.org/officeDocument/2006/relationships" ref="B50" r:id="rId6"/>
  </hyperlinks>
  <pageMargins left="0.3" right="0.3" top="0.4" bottom="0.4" header="0.5" footer="0.5"/>
  <pageSetup orientation="landscape" fitToHeight="0" fitToWidth="1"/>
</worksheet>
</file>

<file path=xl/worksheets/sheet4.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17"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Sales-by-Date / Sales-by-Product / Sales-by-Collection pivots,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RAW_Orders / RAW_OrderLines via Power Query — Phase 2.</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Sales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Sales by Date (PivotTable)  —  Placeholder, built in Not yet built — see dax/README.md ]</t>
        </is>
      </c>
      <c r="C28" s="33" t="n"/>
      <c r="D28" s="33" t="n"/>
      <c r="E28" s="33" t="n"/>
      <c r="F28" s="33" t="n"/>
      <c r="G28" s="32" t="inlineStr">
        <is>
          <t>[ Sales by Product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row r="39">
      <c r="B39" s="32" t="inlineStr">
        <is>
          <t>[ Sales by Collection (PivotTable)  —  Placeholder, built in Not yet built — see dax/README.md ]</t>
        </is>
      </c>
      <c r="C39" s="33" t="n"/>
      <c r="D39" s="33" t="n"/>
      <c r="E39" s="33" t="n"/>
      <c r="F39" s="33" t="n"/>
      <c r="G39" s="32" t="inlineStr">
        <is>
          <t>[ Order List (Table)  —  Placeholder, built in Not yet built — see dax/README.md ]</t>
        </is>
      </c>
      <c r="H39" s="33" t="n"/>
      <c r="I39" s="33" t="n"/>
      <c r="J39" s="33" t="n"/>
      <c r="K39" s="33" t="n"/>
    </row>
    <row r="40">
      <c r="B40" s="33" t="n"/>
      <c r="C40" s="33" t="n"/>
      <c r="D40" s="33" t="n"/>
      <c r="E40" s="33" t="n"/>
      <c r="F40" s="33" t="n"/>
      <c r="G40" s="33" t="n"/>
      <c r="H40" s="33" t="n"/>
      <c r="I40" s="33" t="n"/>
      <c r="J40" s="33" t="n"/>
      <c r="K40" s="33" t="n"/>
    </row>
    <row r="41">
      <c r="B41" s="33" t="n"/>
      <c r="C41" s="33" t="n"/>
      <c r="D41" s="33" t="n"/>
      <c r="E41" s="33" t="n"/>
      <c r="F41" s="33" t="n"/>
      <c r="G41" s="33" t="n"/>
      <c r="H41" s="33" t="n"/>
      <c r="I41" s="33" t="n"/>
      <c r="J41" s="33" t="n"/>
      <c r="K41" s="33" t="n"/>
    </row>
    <row r="42">
      <c r="B42" s="33" t="n"/>
      <c r="C42" s="33" t="n"/>
      <c r="D42" s="33" t="n"/>
      <c r="E42" s="33" t="n"/>
      <c r="F42" s="33" t="n"/>
      <c r="G42" s="33" t="n"/>
      <c r="H42" s="33" t="n"/>
      <c r="I42" s="33" t="n"/>
      <c r="J42" s="33" t="n"/>
      <c r="K42" s="33" t="n"/>
    </row>
    <row r="43">
      <c r="B43" s="33" t="n"/>
      <c r="C43" s="33" t="n"/>
      <c r="D43" s="33" t="n"/>
      <c r="E43" s="33" t="n"/>
      <c r="F43" s="33" t="n"/>
      <c r="G43" s="33" t="n"/>
      <c r="H43" s="33" t="n"/>
      <c r="I43" s="33" t="n"/>
      <c r="J43" s="33" t="n"/>
      <c r="K43" s="33" t="n"/>
    </row>
    <row r="44">
      <c r="B44" s="33" t="n"/>
      <c r="C44" s="33" t="n"/>
      <c r="D44" s="33" t="n"/>
      <c r="E44" s="33" t="n"/>
      <c r="F44" s="33" t="n"/>
      <c r="G44" s="33" t="n"/>
      <c r="H44" s="33" t="n"/>
      <c r="I44" s="33" t="n"/>
      <c r="J44" s="33" t="n"/>
      <c r="K44" s="33" t="n"/>
    </row>
    <row r="45">
      <c r="B45" s="33" t="n"/>
      <c r="C45" s="33" t="n"/>
      <c r="D45" s="33" t="n"/>
      <c r="E45" s="33" t="n"/>
      <c r="F45" s="33" t="n"/>
      <c r="G45" s="33" t="n"/>
      <c r="H45" s="33" t="n"/>
      <c r="I45" s="33" t="n"/>
      <c r="J45" s="33" t="n"/>
      <c r="K45" s="33" t="n"/>
    </row>
    <row r="46">
      <c r="B46" s="33" t="n"/>
      <c r="C46" s="33" t="n"/>
      <c r="D46" s="33" t="n"/>
      <c r="E46" s="33" t="n"/>
      <c r="F46" s="33" t="n"/>
      <c r="G46" s="33" t="n"/>
      <c r="H46" s="33" t="n"/>
      <c r="I46" s="33" t="n"/>
      <c r="J46" s="33" t="n"/>
      <c r="K46" s="33" t="n"/>
    </row>
    <row r="47">
      <c r="B47" s="33" t="n"/>
      <c r="C47" s="33" t="n"/>
      <c r="D47" s="33" t="n"/>
      <c r="E47" s="33" t="n"/>
      <c r="F47" s="33" t="n"/>
      <c r="G47" s="33" t="n"/>
      <c r="H47" s="33" t="n"/>
      <c r="I47" s="33" t="n"/>
      <c r="J47" s="33" t="n"/>
      <c r="K47" s="33" t="n"/>
    </row>
    <row r="48">
      <c r="B48" s="33" t="n"/>
      <c r="C48" s="33" t="n"/>
      <c r="D48" s="33" t="n"/>
      <c r="E48" s="33" t="n"/>
      <c r="F48" s="33" t="n"/>
      <c r="G48" s="33" t="n"/>
      <c r="H48" s="33" t="n"/>
      <c r="I48" s="33" t="n"/>
      <c r="J48" s="33" t="n"/>
      <c r="K48" s="33" t="n"/>
    </row>
  </sheetData>
  <sheetProtection selectLockedCells="0" selectUnlockedCells="0" sheet="1" objects="0" insertRows="0" insertHyperlinks="1" autoFilter="1" scenarios="0" formatColumns="0" deleteColumns="0" insertColumns="0" pivotTables="0" deleteRows="0" formatCells="0" formatRows="0" sort="1" password="C24F"/>
  <mergeCells count="21">
    <mergeCell ref="B4:L4"/>
    <mergeCell ref="F11:G11"/>
    <mergeCell ref="B7:L7"/>
    <mergeCell ref="D12:E13"/>
    <mergeCell ref="G39:K48"/>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tabColor rgb="00404040"/>
    <outlinePr applyStyles="1" summaryBelow="0" summaryRight="1"/>
    <pageSetUpPr/>
  </sheetPr>
  <dimension ref="A1:S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17"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placeholders (Phase 4) PLUS, as of Phase 3, the Product Cost Master — the workbook's historical/versioned SKU costing table.</t>
        </is>
      </c>
    </row>
    <row r="5" hidden="1" outlineLevel="1" ht="13" customHeight="1">
      <c r="A5" s="4" t="inlineStr">
        <is>
          <t>Input tables</t>
        </is>
      </c>
      <c r="B5" s="5" t="inlineStr">
        <is>
          <t>DIM_Product, FACT_OrderLines (Phase 4 dashboard). RAW_Variants, RAW_Collections (Phase 3 Product Cost Master dropdowns).</t>
        </is>
      </c>
    </row>
    <row r="6" hidden="1" outlineLevel="1" ht="13" customHeight="1">
      <c r="A6" s="4" t="inlineStr">
        <is>
          <t>Output tables</t>
        </is>
      </c>
      <c r="B6" s="5" t="inlineStr">
        <is>
          <t>Product KPI row, Top Products table, Product Margin table, Variant Detail table (Phase 4). tbl_ProductCostMaster feeding DIM_ProductCostHistory (Phase 3, live now).</t>
        </is>
      </c>
    </row>
    <row r="7" hidden="1" outlineLevel="1" ht="13" customHeight="1">
      <c r="A7" s="4" t="inlineStr">
        <is>
          <t>Relationships</t>
        </is>
      </c>
      <c r="B7" s="5" t="inlineStr">
        <is>
          <t>DIM_Product links to FACT_OrderLines on ProductKey (Phase 4). tbl_ProductCostMaster[SKU] links to RAW_Variants[SKU]; Phase 4's COGS calculation will further match SKU + order date against Effective From/To Date.</t>
        </is>
      </c>
    </row>
    <row r="8" hidden="1" outlineLevel="1" ht="13" customHeight="1">
      <c r="A8" s="4" t="inlineStr">
        <is>
          <t>Future data source</t>
        </is>
      </c>
      <c r="B8" s="5" t="inlineStr">
        <is>
          <t>RAW_Products / RAW_Variants via Power Query — Phase 2 (dashboard). Product Cost Master is manual entry today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Top 10 Products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Product Margin (PivotTable)  —  Placeholder, built in Not yet built — see dax/README.md ]</t>
        </is>
      </c>
      <c r="C28" s="33" t="n"/>
      <c r="D28" s="33" t="n"/>
      <c r="E28" s="33" t="n"/>
      <c r="F28" s="33" t="n"/>
      <c r="G28" s="32" t="inlineStr">
        <is>
          <t>[ Variant Detail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row r="41">
      <c r="B41" s="34" t="inlineStr">
        <is>
          <t>PRODUCT COST MASTER  (Phase 3 — green cells = type here; Cost ID, Total Landed Cost, Expected Gross Margin %, and the overlap warning are automatic)</t>
        </is>
      </c>
    </row>
    <row r="42" ht="24" customHeight="1">
      <c r="B42" s="20"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44" ht="18" customHeight="1">
      <c r="B44" s="35" t="inlineStr">
        <is>
          <t>Cost ID</t>
        </is>
      </c>
      <c r="C44" s="35" t="inlineStr">
        <is>
          <t>SKU</t>
        </is>
      </c>
      <c r="D44" s="35" t="inlineStr">
        <is>
          <t>Product Name</t>
        </is>
      </c>
      <c r="E44" s="35" t="inlineStr">
        <is>
          <t>Variant</t>
        </is>
      </c>
      <c r="F44" s="35" t="inlineStr">
        <is>
          <t>Collection</t>
        </is>
      </c>
      <c r="G44" s="35" t="inlineStr">
        <is>
          <t>Fabric Cost</t>
        </is>
      </c>
      <c r="H44" s="35" t="inlineStr">
        <is>
          <t>Accessories Cost</t>
        </is>
      </c>
      <c r="I44" s="35" t="inlineStr">
        <is>
          <t>Manufacturing Cost</t>
        </is>
      </c>
      <c r="J44" s="35" t="inlineStr">
        <is>
          <t>Packaging Cost</t>
        </is>
      </c>
      <c r="K44" s="35" t="inlineStr">
        <is>
          <t>Shipping Cost</t>
        </is>
      </c>
      <c r="L44" s="35" t="inlineStr">
        <is>
          <t>Other Cost</t>
        </is>
      </c>
      <c r="M44" s="35" t="inlineStr">
        <is>
          <t>Total Landed Cost</t>
        </is>
      </c>
      <c r="N44" s="35" t="inlineStr">
        <is>
          <t>Selling Price</t>
        </is>
      </c>
      <c r="O44" s="35" t="inlineStr">
        <is>
          <t>Expected Gross Margin %</t>
        </is>
      </c>
      <c r="P44" s="35" t="inlineStr">
        <is>
          <t>Effective From Date</t>
        </is>
      </c>
      <c r="Q44" s="35" t="inlineStr">
        <is>
          <t>Effective To Date</t>
        </is>
      </c>
      <c r="R44" s="35" t="inlineStr">
        <is>
          <t>Active Flag</t>
        </is>
      </c>
      <c r="S44" s="35" t="inlineStr">
        <is>
          <t>Overlap Warning</t>
        </is>
      </c>
    </row>
    <row r="45">
      <c r="B45" s="30">
        <f>"COST-"&amp;TEXT(ROW()-44,"00000")</f>
        <v/>
      </c>
      <c r="C45" s="36" t="n"/>
      <c r="D45" s="36" t="inlineStr">
        <is>
          <t>EXAMPLE — Amara Wrap Dress</t>
        </is>
      </c>
      <c r="E45" s="36" t="inlineStr">
        <is>
          <t>Black / M</t>
        </is>
      </c>
      <c r="F45" s="36" t="n"/>
      <c r="G45" s="36" t="n">
        <v>180</v>
      </c>
      <c r="H45" s="36" t="n">
        <v>25</v>
      </c>
      <c r="I45" s="36" t="n">
        <v>90</v>
      </c>
      <c r="J45" s="36" t="n">
        <v>15</v>
      </c>
      <c r="K45" s="36" t="n">
        <v>20</v>
      </c>
      <c r="L45" s="36" t="n">
        <v>0</v>
      </c>
      <c r="M45" s="37">
        <f>SUM([@[Fabric Cost]],[@[Accessories Cost]],[@[Manufacturing Cost]],[@[Packaging Cost]],[@[Shipping Cost]],[@[Other Cost]])</f>
        <v/>
      </c>
      <c r="N45" s="36" t="n">
        <v>650</v>
      </c>
      <c r="O45" s="38">
        <f>IF([@[Selling Price]]=0,"",([@[Selling Price]]-[@[Total Landed Cost]])/[@[Selling Price]])</f>
        <v/>
      </c>
      <c r="P45" s="36" t="inlineStr">
        <is>
          <t>2026-01-01</t>
        </is>
      </c>
      <c r="Q45" s="36" t="n"/>
      <c r="R45" s="36" t="inlineStr">
        <is>
          <t>Active</t>
        </is>
      </c>
      <c r="S45" s="30">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3">
    <dataValidation sqref="C45: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45: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45: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17"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cohorts,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Cohort table, Top Customers table, Geography breakdown.</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RAW_Customers via Power Query — Phase 2.</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Cohort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Cohort Table (PivotTable)  —  Placeholder, built in Not yet built — see dax/README.md ]</t>
        </is>
      </c>
      <c r="C28" s="33" t="n"/>
      <c r="D28" s="33" t="n"/>
      <c r="E28" s="33" t="n"/>
      <c r="F28" s="33" t="n"/>
      <c r="G28" s="32" t="inlineStr">
        <is>
          <t>[ Top Customers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row r="39">
      <c r="B39" s="32" t="inlineStr">
        <is>
          <t>[ Geography (PivotTable)  —  Placeholder, built in Not yet built — see dax/README.md ]</t>
        </is>
      </c>
      <c r="C39" s="33" t="n"/>
      <c r="D39" s="33" t="n"/>
      <c r="E39" s="33" t="n"/>
      <c r="F39" s="33" t="n"/>
    </row>
    <row r="40">
      <c r="B40" s="33" t="n"/>
      <c r="C40" s="33" t="n"/>
      <c r="D40" s="33" t="n"/>
      <c r="E40" s="33" t="n"/>
      <c r="F40" s="33" t="n"/>
    </row>
    <row r="41">
      <c r="B41" s="33" t="n"/>
      <c r="C41" s="33" t="n"/>
      <c r="D41" s="33" t="n"/>
      <c r="E41" s="33" t="n"/>
      <c r="F41" s="33" t="n"/>
    </row>
    <row r="42">
      <c r="B42" s="33" t="n"/>
      <c r="C42" s="33" t="n"/>
      <c r="D42" s="33" t="n"/>
      <c r="E42" s="33" t="n"/>
      <c r="F42" s="33" t="n"/>
    </row>
    <row r="43">
      <c r="B43" s="33" t="n"/>
      <c r="C43" s="33" t="n"/>
      <c r="D43" s="33" t="n"/>
      <c r="E43" s="33" t="n"/>
      <c r="F43" s="33" t="n"/>
    </row>
    <row r="44">
      <c r="B44" s="33" t="n"/>
      <c r="C44" s="33" t="n"/>
      <c r="D44" s="33" t="n"/>
      <c r="E44" s="33" t="n"/>
      <c r="F44" s="33" t="n"/>
    </row>
    <row r="45">
      <c r="B45" s="33" t="n"/>
      <c r="C45" s="33" t="n"/>
      <c r="D45" s="33" t="n"/>
      <c r="E45" s="33" t="n"/>
      <c r="F45" s="33" t="n"/>
    </row>
    <row r="46">
      <c r="B46" s="33" t="n"/>
      <c r="C46" s="33" t="n"/>
      <c r="D46" s="33" t="n"/>
      <c r="E46" s="33" t="n"/>
      <c r="F46" s="33" t="n"/>
    </row>
    <row r="47">
      <c r="B47" s="33" t="n"/>
      <c r="C47" s="33" t="n"/>
      <c r="D47" s="33" t="n"/>
      <c r="E47" s="33" t="n"/>
      <c r="F47" s="33" t="n"/>
    </row>
    <row r="48">
      <c r="B48" s="33" t="n"/>
      <c r="C48" s="33" t="n"/>
      <c r="D48" s="33" t="n"/>
      <c r="E48" s="33" t="n"/>
      <c r="F48" s="33"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17"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turnover, and reorder risk.</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Stock-by-Location table, Low Stock list, Valuation 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RAW_InventoryLevels via Power Query — Phase 2.</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Stock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Stock by Location (PivotTable)  —  Placeholder, built in Not yet built — see dax/README.md ]</t>
        </is>
      </c>
      <c r="C28" s="33" t="n"/>
      <c r="D28" s="33" t="n"/>
      <c r="E28" s="33" t="n"/>
      <c r="F28" s="33" t="n"/>
      <c r="G28" s="32" t="inlineStr">
        <is>
          <t>[ Low Stock List (Table)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row r="39">
      <c r="B39" s="32" t="inlineStr">
        <is>
          <t>[ Inventory Valuation (PivotTable)  —  Placeholder, built in Not yet built — see dax/README.md ]</t>
        </is>
      </c>
      <c r="C39" s="33" t="n"/>
      <c r="D39" s="33" t="n"/>
      <c r="E39" s="33" t="n"/>
      <c r="F39" s="33" t="n"/>
    </row>
    <row r="40">
      <c r="B40" s="33" t="n"/>
      <c r="C40" s="33" t="n"/>
      <c r="D40" s="33" t="n"/>
      <c r="E40" s="33" t="n"/>
      <c r="F40" s="33" t="n"/>
    </row>
    <row r="41">
      <c r="B41" s="33" t="n"/>
      <c r="C41" s="33" t="n"/>
      <c r="D41" s="33" t="n"/>
      <c r="E41" s="33" t="n"/>
      <c r="F41" s="33" t="n"/>
    </row>
    <row r="42">
      <c r="B42" s="33" t="n"/>
      <c r="C42" s="33" t="n"/>
      <c r="D42" s="33" t="n"/>
      <c r="E42" s="33" t="n"/>
      <c r="F42" s="33" t="n"/>
    </row>
    <row r="43">
      <c r="B43" s="33" t="n"/>
      <c r="C43" s="33" t="n"/>
      <c r="D43" s="33" t="n"/>
      <c r="E43" s="33" t="n"/>
      <c r="F43" s="33" t="n"/>
    </row>
    <row r="44">
      <c r="B44" s="33" t="n"/>
      <c r="C44" s="33" t="n"/>
      <c r="D44" s="33" t="n"/>
      <c r="E44" s="33" t="n"/>
      <c r="F44" s="33" t="n"/>
    </row>
    <row r="45">
      <c r="B45" s="33" t="n"/>
      <c r="C45" s="33" t="n"/>
      <c r="D45" s="33" t="n"/>
      <c r="E45" s="33" t="n"/>
      <c r="F45" s="33" t="n"/>
    </row>
    <row r="46">
      <c r="B46" s="33" t="n"/>
      <c r="C46" s="33" t="n"/>
      <c r="D46" s="33" t="n"/>
      <c r="E46" s="33" t="n"/>
      <c r="F46" s="33" t="n"/>
    </row>
    <row r="47">
      <c r="B47" s="33" t="n"/>
      <c r="C47" s="33" t="n"/>
      <c r="D47" s="33" t="n"/>
      <c r="E47" s="33" t="n"/>
      <c r="F47" s="33" t="n"/>
    </row>
    <row r="48">
      <c r="B48" s="33" t="n"/>
      <c r="C48" s="33" t="n"/>
      <c r="D48" s="33" t="n"/>
      <c r="E48" s="33" t="n"/>
      <c r="F48" s="33"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tabColor rgb="00404040"/>
    <outlinePr applyStyles="1" summaryBelow="0" summaryRight="1"/>
    <pageSetUpPr/>
  </sheetPr>
  <dimension ref="A1:L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17"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Statement, Cash Flow Statement.</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Data Model measures, built on top of RAW_Orders + FACT_ManualExpenses — Phase 3/4.</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P&amp;L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P&amp;L Statement (PivotTable)  —  Placeholder, built in Not yet built — see dax/README.md ]</t>
        </is>
      </c>
      <c r="C28" s="33" t="n"/>
      <c r="D28" s="33" t="n"/>
      <c r="E28" s="33" t="n"/>
      <c r="F28" s="33" t="n"/>
      <c r="G28" s="32" t="inlineStr">
        <is>
          <t>[ Cash Flow Statement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row r="41">
      <c r="B41" s="34" t="inlineStr">
        <is>
          <t>BUDGET  (Phase 5 — green cells = type here; Budget ID is automatic)</t>
        </is>
      </c>
    </row>
    <row r="42" ht="20" customHeight="1">
      <c r="B42" s="20" t="inlineStr">
        <is>
          <t>Leave Month blank for a YEARLY budget line (the whole year's target for that Year+Category); fill in Month for a MONTHLY line. dax/MEASURES_PHASE5.md's [Budget Variance] / [Forecast vs Budget] measures match Actuals to whichever grain a report is built at.</t>
        </is>
      </c>
    </row>
    <row r="44" ht="18" customHeight="1">
      <c r="B44" s="35" t="inlineStr">
        <is>
          <t>Budget ID</t>
        </is>
      </c>
      <c r="C44" s="35" t="inlineStr">
        <is>
          <t>Year</t>
        </is>
      </c>
      <c r="D44" s="35" t="inlineStr">
        <is>
          <t>Month</t>
        </is>
      </c>
      <c r="E44" s="35" t="inlineStr">
        <is>
          <t>Category</t>
        </is>
      </c>
      <c r="F44" s="35" t="inlineStr">
        <is>
          <t>Budget Amount</t>
        </is>
      </c>
      <c r="G44" s="35" t="inlineStr">
        <is>
          <t>Notes</t>
        </is>
      </c>
    </row>
    <row r="45">
      <c r="B45" s="30">
        <f>"BUD-"&amp;TEXT(ROW()-44,"00000")</f>
        <v/>
      </c>
      <c r="C45" s="36" t="n">
        <v>2026</v>
      </c>
      <c r="D45" s="36" t="n"/>
      <c r="E45" s="36" t="inlineStr">
        <is>
          <t>Revenue</t>
        </is>
      </c>
      <c r="F45" s="36" t="n">
        <v>500000</v>
      </c>
      <c r="G45" s="36" t="inlineStr">
        <is>
          <t>EXAMPLE — 2026 annual revenue budget</t>
        </is>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1">
    <dataValidation sqref="E45:E501" showDropDown="0" showInputMessage="1" showErrorMessage="1" allowBlank="1" errorTitle="Invalid entry" error="Please choose a value from the Category list — free text isn't accepted here." promptTitle="Category" prompt="Revenue, Expense, Marketing, Purchasing, or Profit — from the list on 15_Settings." type="list" errorStyle="stop">
      <formula1>=LookupBudgetCategory</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17"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contribution margin, and profitability by product, collection, and channel.</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Margin-by-Product / Margin-by-Collection tables, Margin Trend chart.</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Data Model measures — Phase 3/4.</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Margin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Margin by Product (PivotTable)  —  Placeholder, built in Not yet built — see dax/README.md ]</t>
        </is>
      </c>
      <c r="C28" s="33" t="n"/>
      <c r="D28" s="33" t="n"/>
      <c r="E28" s="33" t="n"/>
      <c r="F28" s="33" t="n"/>
      <c r="G28" s="32" t="inlineStr">
        <is>
          <t>[ Margin by Collection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0.xml><?xml version="1.0" encoding="utf-8"?>
<worksheet xmlns="http://schemas.openxmlformats.org/spreadsheetml/2006/main">
  <sheetPr>
    <tabColor rgb="00375623"/>
    <outlinePr applyStyles="1" summaryBelow="0" summaryRight="1"/>
    <pageSetUpPr/>
  </sheetPr>
  <dimension ref="A1:R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17"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MANUAL EXPENSE ENTRY  (green cells = type here — Expense ID and Possible Duplicate are automatic)</t>
        </is>
      </c>
    </row>
    <row r="17" ht="18" customHeight="1">
      <c r="B17" s="35" t="inlineStr">
        <is>
          <t>Expense ID</t>
        </is>
      </c>
      <c r="C17" s="35" t="inlineStr">
        <is>
          <t>Expense Date</t>
        </is>
      </c>
      <c r="D17" s="35" t="inlineStr">
        <is>
          <t>Expense Category</t>
        </is>
      </c>
      <c r="E17" s="35" t="inlineStr">
        <is>
          <t>Expense Subcategory</t>
        </is>
      </c>
      <c r="F17" s="35" t="inlineStr">
        <is>
          <t>Supplier</t>
        </is>
      </c>
      <c r="G17" s="35" t="inlineStr">
        <is>
          <t>Amount</t>
        </is>
      </c>
      <c r="H17" s="35" t="inlineStr">
        <is>
          <t>Currency</t>
        </is>
      </c>
      <c r="I17" s="35" t="inlineStr">
        <is>
          <t>Payment Method</t>
        </is>
      </c>
      <c r="J17" s="35" t="inlineStr">
        <is>
          <t>Related Collection</t>
        </is>
      </c>
      <c r="K17" s="35" t="inlineStr">
        <is>
          <t>Related SKU</t>
        </is>
      </c>
      <c r="L17" s="35" t="inlineStr">
        <is>
          <t>Cost Center</t>
        </is>
      </c>
      <c r="M17" s="35" t="inlineStr">
        <is>
          <t>Notes</t>
        </is>
      </c>
      <c r="N17" s="35" t="inlineStr">
        <is>
          <t>Invoice Number</t>
        </is>
      </c>
      <c r="O17" s="35" t="inlineStr">
        <is>
          <t>File Name</t>
        </is>
      </c>
      <c r="P17" s="35" t="inlineStr">
        <is>
          <t>File Path</t>
        </is>
      </c>
      <c r="Q17" s="35" t="inlineStr">
        <is>
          <t>Cloud Link</t>
        </is>
      </c>
      <c r="R17" s="35" t="inlineStr">
        <is>
          <t>Possible Duplicate</t>
        </is>
      </c>
    </row>
    <row r="18">
      <c r="B18" s="30">
        <f>"EXP-"&amp;TEXT(ROW()-17,"00000")</f>
        <v/>
      </c>
      <c r="C18" s="36" t="inlineStr">
        <is>
          <t>2026-01-15</t>
        </is>
      </c>
      <c r="D18" s="36" t="inlineStr">
        <is>
          <t>Rent</t>
        </is>
      </c>
      <c r="E18" s="36" t="inlineStr">
        <is>
          <t>Office</t>
        </is>
      </c>
      <c r="F18" s="36" t="n"/>
      <c r="G18" s="36" t="n">
        <v>15000</v>
      </c>
      <c r="H18" s="36" t="inlineStr">
        <is>
          <t>EGP</t>
        </is>
      </c>
      <c r="I18" s="36" t="inlineStr">
        <is>
          <t>Bank Transfer</t>
        </is>
      </c>
      <c r="J18" s="36" t="n"/>
      <c r="K18" s="36" t="n"/>
      <c r="L18" s="36" t="inlineStr">
        <is>
          <t>Head Office</t>
        </is>
      </c>
      <c r="M18" s="36" t="inlineStr">
        <is>
          <t>EXAMPLE — January office rent</t>
        </is>
      </c>
      <c r="N18" s="36" t="inlineStr">
        <is>
          <t>INV-2026-0001</t>
        </is>
      </c>
      <c r="O18" s="36" t="inlineStr">
        <is>
          <t>jan-rent.pdf</t>
        </is>
      </c>
      <c r="P18" s="36" t="inlineStr">
        <is>
          <t>/Finance/2026/Rent/</t>
        </is>
      </c>
      <c r="Q18" s="36" t="n"/>
      <c r="R18" s="30">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8:R8"/>
    <mergeCell ref="A3:R3"/>
    <mergeCell ref="B4:R4"/>
    <mergeCell ref="B12:C13"/>
    <mergeCell ref="F11:G11"/>
    <mergeCell ref="H11:I11"/>
    <mergeCell ref="H12:I13"/>
    <mergeCell ref="F12:G13"/>
    <mergeCell ref="B11:C11"/>
    <mergeCell ref="A2:R2"/>
    <mergeCell ref="D11:E11"/>
    <mergeCell ref="B7:R7"/>
    <mergeCell ref="B6:R6"/>
    <mergeCell ref="D12:E13"/>
    <mergeCell ref="A1:R1"/>
    <mergeCell ref="B5:R5"/>
  </mergeCells>
  <dataValidations count="8">
    <dataValidation sqref="D18: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18: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18: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18: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18: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18: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18: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375623"/>
    <outlinePr applyStyles="1" summaryBelow="0" summaryRight="1"/>
    <pageSetUpPr/>
  </sheetPr>
  <dimension ref="A1:I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17"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CAPITAL TRANSACTIONS  (green cells = type here — Capital ID and Possible Duplicate are automatic)</t>
        </is>
      </c>
    </row>
    <row r="17" ht="18" customHeight="1">
      <c r="B17" s="35" t="inlineStr">
        <is>
          <t>Capital ID</t>
        </is>
      </c>
      <c r="C17" s="35" t="inlineStr">
        <is>
          <t>Date</t>
        </is>
      </c>
      <c r="D17" s="35" t="inlineStr">
        <is>
          <t>Owner</t>
        </is>
      </c>
      <c r="E17" s="35" t="inlineStr">
        <is>
          <t>Transaction Type</t>
        </is>
      </c>
      <c r="F17" s="35" t="inlineStr">
        <is>
          <t>Amount</t>
        </is>
      </c>
      <c r="G17" s="35" t="inlineStr">
        <is>
          <t>Notes</t>
        </is>
      </c>
      <c r="H17" s="35" t="inlineStr">
        <is>
          <t>Entered By</t>
        </is>
      </c>
      <c r="I17" s="35" t="inlineStr">
        <is>
          <t>Possible Duplicate</t>
        </is>
      </c>
    </row>
    <row r="18">
      <c r="B18" s="30">
        <f>"CAP-"&amp;TEXT(ROW()-17,"00000")</f>
        <v/>
      </c>
      <c r="C18" s="36" t="inlineStr">
        <is>
          <t>2026-01-01</t>
        </is>
      </c>
      <c r="D18" s="36" t="inlineStr">
        <is>
          <t>Founder</t>
        </is>
      </c>
      <c r="E18" s="36" t="inlineStr">
        <is>
          <t>Capital Contribution</t>
        </is>
      </c>
      <c r="F18" s="36" t="n">
        <v>50000</v>
      </c>
      <c r="G18" s="36" t="inlineStr">
        <is>
          <t>EXAMPLE — founder capital injection</t>
        </is>
      </c>
      <c r="H18" s="36" t="inlineStr">
        <is>
          <t>Founder</t>
        </is>
      </c>
      <c r="I18" s="30">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s>
  <dataValidations count="2">
    <dataValidation sqref="D18: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18: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375623"/>
    <outlinePr applyStyles="1" summaryBelow="0" summaryRight="1"/>
    <pageSetUpPr/>
  </sheetPr>
  <dimension ref="A1:K33"/>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17"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SUPPLIER MASTER  (green cells = type here — Supplier ID is automatic)</t>
        </is>
      </c>
    </row>
    <row r="17" ht="18" customHeight="1">
      <c r="B17" s="35" t="inlineStr">
        <is>
          <t>Supplier ID</t>
        </is>
      </c>
      <c r="C17" s="35" t="inlineStr">
        <is>
          <t>Supplier Name</t>
        </is>
      </c>
      <c r="D17" s="35" t="inlineStr">
        <is>
          <t>Supplier Type</t>
        </is>
      </c>
      <c r="E17" s="35" t="inlineStr">
        <is>
          <t>Contact Person</t>
        </is>
      </c>
      <c r="F17" s="35" t="inlineStr">
        <is>
          <t>Phone</t>
        </is>
      </c>
      <c r="G17" s="35" t="inlineStr">
        <is>
          <t>Email</t>
        </is>
      </c>
      <c r="H17" s="35" t="inlineStr">
        <is>
          <t>Currency</t>
        </is>
      </c>
      <c r="I17" s="35" t="inlineStr">
        <is>
          <t>Payment Terms</t>
        </is>
      </c>
      <c r="J17" s="35" t="inlineStr">
        <is>
          <t>Status</t>
        </is>
      </c>
      <c r="K17" s="35" t="inlineStr">
        <is>
          <t>Notes</t>
        </is>
      </c>
    </row>
    <row r="18">
      <c r="B18" s="30">
        <f>"SUP-"&amp;TEXT(ROW()-17,"00000")</f>
        <v/>
      </c>
      <c r="C18" s="36" t="inlineStr">
        <is>
          <t>EXAMPLE — ABC Textiles</t>
        </is>
      </c>
      <c r="D18" s="36" t="inlineStr">
        <is>
          <t>Fabric</t>
        </is>
      </c>
      <c r="E18" s="36" t="inlineStr">
        <is>
          <t>Mona Ahmed</t>
        </is>
      </c>
      <c r="F18" s="36" t="inlineStr">
        <is>
          <t>+20 100 000 0000</t>
        </is>
      </c>
      <c r="G18" s="36" t="inlineStr">
        <is>
          <t>contact@example.com</t>
        </is>
      </c>
      <c r="H18" s="36" t="inlineStr">
        <is>
          <t>EGP</t>
        </is>
      </c>
      <c r="I18" s="36" t="inlineStr">
        <is>
          <t>Net 30</t>
        </is>
      </c>
      <c r="J18" s="36" t="inlineStr">
        <is>
          <t>Active</t>
        </is>
      </c>
      <c r="K18" s="36" t="n"/>
    </row>
    <row r="21">
      <c r="B21" s="11" t="inlineStr">
        <is>
          <t>PURCHASE ORDER HEADER  (green cells = type here — PO Number is automatic)</t>
        </is>
      </c>
    </row>
    <row r="22" ht="18" customHeight="1">
      <c r="B22" s="35" t="inlineStr">
        <is>
          <t>PO Number</t>
        </is>
      </c>
      <c r="C22" s="35" t="inlineStr">
        <is>
          <t>Supplier</t>
        </is>
      </c>
      <c r="D22" s="35" t="inlineStr">
        <is>
          <t>Order Date</t>
        </is>
      </c>
      <c r="E22" s="35" t="inlineStr">
        <is>
          <t>Expected Delivery Date</t>
        </is>
      </c>
      <c r="F22" s="35" t="inlineStr">
        <is>
          <t>Status</t>
        </is>
      </c>
      <c r="G22" s="35" t="inlineStr">
        <is>
          <t>Currency</t>
        </is>
      </c>
      <c r="H22" s="35" t="inlineStr">
        <is>
          <t>Notes</t>
        </is>
      </c>
    </row>
    <row r="23">
      <c r="B23" s="30">
        <f>"PO-"&amp;TEXT(ROW()-22,"00000")</f>
        <v/>
      </c>
      <c r="C23" s="36" t="inlineStr">
        <is>
          <t>EXAMPLE — ABC Textiles</t>
        </is>
      </c>
      <c r="D23" s="36" t="inlineStr">
        <is>
          <t>2026-01-10</t>
        </is>
      </c>
      <c r="E23" s="36" t="inlineStr">
        <is>
          <t>2026-01-24</t>
        </is>
      </c>
      <c r="F23" s="36" t="inlineStr">
        <is>
          <t>Draft</t>
        </is>
      </c>
      <c r="G23" s="36" t="inlineStr">
        <is>
          <t>EGP</t>
        </is>
      </c>
      <c r="H23" s="36" t="n"/>
    </row>
    <row r="26">
      <c r="B26" s="11" t="inlineStr">
        <is>
          <t>PURCHASE ORDER LINES  (green cells = type here — Total Cost is automatic)</t>
        </is>
      </c>
    </row>
    <row r="27" ht="18" customHeight="1">
      <c r="B27" s="35" t="inlineStr">
        <is>
          <t>PO Number</t>
        </is>
      </c>
      <c r="C27" s="35" t="inlineStr">
        <is>
          <t>SKU</t>
        </is>
      </c>
      <c r="D27" s="35" t="inlineStr">
        <is>
          <t>Quantity Ordered</t>
        </is>
      </c>
      <c r="E27" s="35" t="inlineStr">
        <is>
          <t>Unit Cost</t>
        </is>
      </c>
      <c r="F27" s="35" t="inlineStr">
        <is>
          <t>Total Cost</t>
        </is>
      </c>
    </row>
    <row r="28">
      <c r="B28" s="36" t="n"/>
      <c r="C28" s="36" t="n"/>
      <c r="D28" s="36" t="n">
        <v>50</v>
      </c>
      <c r="E28" s="36" t="n">
        <v>120</v>
      </c>
      <c r="F28" s="30">
        <f>[@[Quantity Ordered]]*[@[Unit Cost]]</f>
        <v/>
      </c>
    </row>
    <row r="31">
      <c r="B31" s="11" t="inlineStr">
        <is>
          <t>GOODS RECEIPT  (green cells = type here — Remaining Quantity and Variance from PO are automatic)</t>
        </is>
      </c>
    </row>
    <row r="32" ht="18" customHeight="1">
      <c r="B32" s="35" t="inlineStr">
        <is>
          <t>PO Number</t>
        </is>
      </c>
      <c r="C32" s="35" t="inlineStr">
        <is>
          <t>SKU</t>
        </is>
      </c>
      <c r="D32" s="35" t="inlineStr">
        <is>
          <t>Goods Received Date</t>
        </is>
      </c>
      <c r="E32" s="35" t="inlineStr">
        <is>
          <t>Quantity Received</t>
        </is>
      </c>
      <c r="F32" s="35" t="inlineStr">
        <is>
          <t>Remaining Quantity</t>
        </is>
      </c>
      <c r="G32" s="35" t="inlineStr">
        <is>
          <t>Actual Unit Cost</t>
        </is>
      </c>
      <c r="H32" s="35" t="inlineStr">
        <is>
          <t>Variance from PO</t>
        </is>
      </c>
      <c r="I32" s="35" t="inlineStr">
        <is>
          <t>Warehouse</t>
        </is>
      </c>
      <c r="J32" s="35" t="inlineStr">
        <is>
          <t>Receiver</t>
        </is>
      </c>
    </row>
    <row r="33">
      <c r="B33" s="36" t="n"/>
      <c r="C33" s="36" t="n"/>
      <c r="D33" s="36" t="inlineStr">
        <is>
          <t>2026-01-20</t>
        </is>
      </c>
      <c r="E33" s="36" t="n">
        <v>30</v>
      </c>
      <c r="F33" s="30">
        <f>SUMIFS(tbl_POLines[Quantity Ordered],tbl_POLines[PO Number],[@[PO Number]],tbl_POLines[SKU],[@SKU])-SUMIFS(tbl_GoodsReceipt[Quantity Received],tbl_GoodsReceipt[PO Number],[@[PO Number]],tbl_GoodsReceipt[SKU],[@SKU])</f>
        <v/>
      </c>
      <c r="G33" s="36" t="n">
        <v>122</v>
      </c>
      <c r="H33" s="30">
        <f>[@[Actual Unit Cost]]-SUMIFS(tbl_POLines[Unit Cost],tbl_POLines[PO Number],[@[PO Number]],tbl_POLines[SKU],[@SKU])</f>
        <v/>
      </c>
      <c r="I33" s="36" t="inlineStr">
        <is>
          <t>Main Warehouse</t>
        </is>
      </c>
      <c r="J33" s="36"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7:J7"/>
    <mergeCell ref="A1:J1"/>
    <mergeCell ref="B12:C13"/>
    <mergeCell ref="F11:G11"/>
    <mergeCell ref="B5:J5"/>
    <mergeCell ref="H11:I11"/>
    <mergeCell ref="F12:G13"/>
    <mergeCell ref="B11:C11"/>
    <mergeCell ref="H12:I13"/>
    <mergeCell ref="D11:E11"/>
    <mergeCell ref="A3:J3"/>
    <mergeCell ref="D12:E13"/>
    <mergeCell ref="B8:J8"/>
    <mergeCell ref="B4:J4"/>
    <mergeCell ref="A2:J2"/>
    <mergeCell ref="B6:J6"/>
  </mergeCells>
  <dataValidations count="11">
    <dataValidation sqref="D18: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18: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3: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3: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3: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28: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28: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3: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3: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3: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hyperlinks>
    <hyperlink xmlns:r="http://schemas.openxmlformats.org/officeDocument/2006/relationships" ref="A2" r:id="rId1"/>
  </hyperlinks>
  <pageMargins left="0.75" right="0.75" top="1" bottom="1" header="0.5" footer="0.5"/>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3.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17"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FACT_AdSpend.</t>
        </is>
      </c>
    </row>
    <row r="6" hidden="1" outlineLevel="1" ht="13" customHeight="1">
      <c r="A6" s="4" t="inlineStr">
        <is>
          <t>Output tables</t>
        </is>
      </c>
      <c r="B6" s="5" t="inlineStr">
        <is>
          <t>Marketing KPI row, Campaign Performance table, Discount Code Usage table.</t>
        </is>
      </c>
    </row>
    <row r="7" hidden="1" outlineLevel="1" ht="13" customHeight="1">
      <c r="A7" s="4" t="inlineStr">
        <is>
          <t>Relationships</t>
        </is>
      </c>
      <c r="B7" s="5" t="inlineStr">
        <is>
          <t>FACT_OrderLines[DiscountAmount] rolls up by campaign/discount code.</t>
        </is>
      </c>
    </row>
    <row r="8" hidden="1" outlineLevel="1" ht="13" customHeight="1">
      <c r="A8" s="4" t="inlineStr">
        <is>
          <t>Future data source</t>
        </is>
      </c>
      <c r="B8" s="5" t="inlineStr">
        <is>
          <t>RAW_Orders discount fields via Power Query — Phase 2. Meta/TikTok Ads API — future integration.</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9" t="inlineStr">
        <is>
          <t>—</t>
        </is>
      </c>
      <c r="C12" s="7" t="n"/>
      <c r="D12" s="9" t="inlineStr">
        <is>
          <t>—</t>
        </is>
      </c>
      <c r="E12" s="7" t="n"/>
      <c r="F12" s="9" t="inlineStr">
        <is>
          <t>—</t>
        </is>
      </c>
      <c r="G12" s="7" t="n"/>
      <c r="H12" s="9" t="inlineStr">
        <is>
          <t>—</t>
        </is>
      </c>
      <c r="I12" s="7" t="n"/>
    </row>
    <row r="13" ht="22" customHeight="1">
      <c r="B13" s="7" t="n"/>
      <c r="C13" s="7" t="n"/>
      <c r="D13" s="7" t="n"/>
      <c r="E13" s="7" t="n"/>
      <c r="F13" s="7" t="n"/>
      <c r="G13" s="7" t="n"/>
      <c r="H13" s="7" t="n"/>
      <c r="I13" s="7" t="n"/>
    </row>
    <row r="16">
      <c r="B16" s="11" t="inlineStr">
        <is>
          <t>TRENDS &amp; BREAKDOWNS</t>
        </is>
      </c>
    </row>
    <row r="17">
      <c r="B17" s="32" t="inlineStr">
        <is>
          <t>[ Discount Trend (Chart)  —  Placeholder, built in Not yet built — see dax/README.md ]</t>
        </is>
      </c>
      <c r="C17" s="33" t="n"/>
      <c r="D17" s="33" t="n"/>
      <c r="E17" s="33" t="n"/>
      <c r="F17" s="33" t="n"/>
      <c r="G17" s="33" t="n"/>
      <c r="H17" s="33" t="n"/>
      <c r="I17" s="33" t="n"/>
      <c r="J17" s="33" t="n"/>
      <c r="K17" s="33" t="n"/>
    </row>
    <row r="18">
      <c r="B18" s="33" t="n"/>
      <c r="C18" s="33" t="n"/>
      <c r="D18" s="33" t="n"/>
      <c r="E18" s="33" t="n"/>
      <c r="F18" s="33" t="n"/>
      <c r="G18" s="33" t="n"/>
      <c r="H18" s="33" t="n"/>
      <c r="I18" s="33" t="n"/>
      <c r="J18" s="33" t="n"/>
      <c r="K18" s="33" t="n"/>
    </row>
    <row r="19">
      <c r="B19" s="33" t="n"/>
      <c r="C19" s="33" t="n"/>
      <c r="D19" s="33" t="n"/>
      <c r="E19" s="33" t="n"/>
      <c r="F19" s="33" t="n"/>
      <c r="G19" s="33" t="n"/>
      <c r="H19" s="33" t="n"/>
      <c r="I19" s="33" t="n"/>
      <c r="J19" s="33" t="n"/>
      <c r="K19" s="33" t="n"/>
    </row>
    <row r="20">
      <c r="B20" s="33" t="n"/>
      <c r="C20" s="33" t="n"/>
      <c r="D20" s="33" t="n"/>
      <c r="E20" s="33" t="n"/>
      <c r="F20" s="33" t="n"/>
      <c r="G20" s="33" t="n"/>
      <c r="H20" s="33" t="n"/>
      <c r="I20" s="33" t="n"/>
      <c r="J20" s="33" t="n"/>
      <c r="K20" s="33" t="n"/>
    </row>
    <row r="21">
      <c r="B21" s="33" t="n"/>
      <c r="C21" s="33" t="n"/>
      <c r="D21" s="33" t="n"/>
      <c r="E21" s="33" t="n"/>
      <c r="F21" s="33" t="n"/>
      <c r="G21" s="33" t="n"/>
      <c r="H21" s="33" t="n"/>
      <c r="I21" s="33" t="n"/>
      <c r="J21" s="33" t="n"/>
      <c r="K21" s="33" t="n"/>
    </row>
    <row r="22">
      <c r="B22" s="33" t="n"/>
      <c r="C22" s="33" t="n"/>
      <c r="D22" s="33" t="n"/>
      <c r="E22" s="33" t="n"/>
      <c r="F22" s="33" t="n"/>
      <c r="G22" s="33" t="n"/>
      <c r="H22" s="33" t="n"/>
      <c r="I22" s="33" t="n"/>
      <c r="J22" s="33" t="n"/>
      <c r="K22" s="33" t="n"/>
    </row>
    <row r="23">
      <c r="B23" s="33" t="n"/>
      <c r="C23" s="33" t="n"/>
      <c r="D23" s="33" t="n"/>
      <c r="E23" s="33" t="n"/>
      <c r="F23" s="33" t="n"/>
      <c r="G23" s="33" t="n"/>
      <c r="H23" s="33" t="n"/>
      <c r="I23" s="33" t="n"/>
      <c r="J23" s="33" t="n"/>
      <c r="K23" s="33" t="n"/>
    </row>
    <row r="24">
      <c r="B24" s="33" t="n"/>
      <c r="C24" s="33" t="n"/>
      <c r="D24" s="33" t="n"/>
      <c r="E24" s="33" t="n"/>
      <c r="F24" s="33" t="n"/>
      <c r="G24" s="33" t="n"/>
      <c r="H24" s="33" t="n"/>
      <c r="I24" s="33" t="n"/>
      <c r="J24" s="33" t="n"/>
      <c r="K24" s="33" t="n"/>
    </row>
    <row r="27">
      <c r="B27" s="11" t="inlineStr">
        <is>
          <t>DETAIL (PIVOTTABLES)</t>
        </is>
      </c>
    </row>
    <row r="28">
      <c r="B28" s="32" t="inlineStr">
        <is>
          <t>[ Campaign Performance (PivotTable)  —  Placeholder, built in Not yet built — see dax/README.md ]</t>
        </is>
      </c>
      <c r="C28" s="33" t="n"/>
      <c r="D28" s="33" t="n"/>
      <c r="E28" s="33" t="n"/>
      <c r="F28" s="33" t="n"/>
      <c r="G28" s="32" t="inlineStr">
        <is>
          <t>[ Discount Code Usage (PivotTable)  —  Placeholder, built in Not yet built — see dax/README.md ]</t>
        </is>
      </c>
      <c r="H28" s="33" t="n"/>
      <c r="I28" s="33" t="n"/>
      <c r="J28" s="33" t="n"/>
      <c r="K28" s="33" t="n"/>
    </row>
    <row r="29">
      <c r="B29" s="33" t="n"/>
      <c r="C29" s="33" t="n"/>
      <c r="D29" s="33" t="n"/>
      <c r="E29" s="33" t="n"/>
      <c r="F29" s="33" t="n"/>
      <c r="G29" s="33" t="n"/>
      <c r="H29" s="33" t="n"/>
      <c r="I29" s="33" t="n"/>
      <c r="J29" s="33" t="n"/>
      <c r="K29" s="33" t="n"/>
    </row>
    <row r="30">
      <c r="B30" s="33" t="n"/>
      <c r="C30" s="33" t="n"/>
      <c r="D30" s="33" t="n"/>
      <c r="E30" s="33" t="n"/>
      <c r="F30" s="33" t="n"/>
      <c r="G30" s="33" t="n"/>
      <c r="H30" s="33" t="n"/>
      <c r="I30" s="33" t="n"/>
      <c r="J30" s="33" t="n"/>
      <c r="K30" s="33" t="n"/>
    </row>
    <row r="31">
      <c r="B31" s="33" t="n"/>
      <c r="C31" s="33" t="n"/>
      <c r="D31" s="33" t="n"/>
      <c r="E31" s="33" t="n"/>
      <c r="F31" s="33" t="n"/>
      <c r="G31" s="33" t="n"/>
      <c r="H31" s="33" t="n"/>
      <c r="I31" s="33" t="n"/>
      <c r="J31" s="33" t="n"/>
      <c r="K31" s="33" t="n"/>
    </row>
    <row r="32">
      <c r="B32" s="33" t="n"/>
      <c r="C32" s="33" t="n"/>
      <c r="D32" s="33" t="n"/>
      <c r="E32" s="33" t="n"/>
      <c r="F32" s="33" t="n"/>
      <c r="G32" s="33" t="n"/>
      <c r="H32" s="33" t="n"/>
      <c r="I32" s="33" t="n"/>
      <c r="J32" s="33" t="n"/>
      <c r="K32" s="33" t="n"/>
    </row>
    <row r="33">
      <c r="B33" s="33" t="n"/>
      <c r="C33" s="33" t="n"/>
      <c r="D33" s="33" t="n"/>
      <c r="E33" s="33" t="n"/>
      <c r="F33" s="33" t="n"/>
      <c r="G33" s="33" t="n"/>
      <c r="H33" s="33" t="n"/>
      <c r="I33" s="33" t="n"/>
      <c r="J33" s="33" t="n"/>
      <c r="K33" s="33" t="n"/>
    </row>
    <row r="34">
      <c r="B34" s="33" t="n"/>
      <c r="C34" s="33" t="n"/>
      <c r="D34" s="33" t="n"/>
      <c r="E34" s="33" t="n"/>
      <c r="F34" s="33" t="n"/>
      <c r="G34" s="33" t="n"/>
      <c r="H34" s="33" t="n"/>
      <c r="I34" s="33" t="n"/>
      <c r="J34" s="33" t="n"/>
      <c r="K34" s="33" t="n"/>
    </row>
    <row r="35">
      <c r="B35" s="33" t="n"/>
      <c r="C35" s="33" t="n"/>
      <c r="D35" s="33" t="n"/>
      <c r="E35" s="33" t="n"/>
      <c r="F35" s="33" t="n"/>
      <c r="G35" s="33" t="n"/>
      <c r="H35" s="33" t="n"/>
      <c r="I35" s="33" t="n"/>
      <c r="J35" s="33" t="n"/>
      <c r="K35" s="33" t="n"/>
    </row>
    <row r="36">
      <c r="B36" s="33" t="n"/>
      <c r="C36" s="33" t="n"/>
      <c r="D36" s="33" t="n"/>
      <c r="E36" s="33" t="n"/>
      <c r="F36" s="33" t="n"/>
      <c r="G36" s="33" t="n"/>
      <c r="H36" s="33" t="n"/>
      <c r="I36" s="33" t="n"/>
      <c r="J36" s="33" t="n"/>
      <c r="K36" s="33" t="n"/>
    </row>
    <row r="37">
      <c r="B37" s="33" t="n"/>
      <c r="C37" s="33" t="n"/>
      <c r="D37" s="33" t="n"/>
      <c r="E37" s="33" t="n"/>
      <c r="F37" s="33" t="n"/>
      <c r="G37" s="33" t="n"/>
      <c r="H37" s="33" t="n"/>
      <c r="I37" s="33" t="n"/>
      <c r="J37" s="33" t="n"/>
      <c r="K37" s="33"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tabColor rgb="00404040"/>
    <outlinePr applyStyles="1" summaryBelow="0" summaryRight="1"/>
    <pageSetUpPr/>
  </sheetPr>
  <dimension ref="A1:I42"/>
  <sheetViews>
    <sheetView showGridLines="0" workbookViewId="0">
      <pane ySplit="10" topLeftCell="A11" activePane="bottomLeft" state="frozen"/>
      <selection pane="bottomLeft" activeCell="A1" sqref="A1"/>
    </sheetView>
  </sheetViews>
  <sheetFormatPr baseColWidth="8" defaultRowHeight="15"/>
  <cols>
    <col width="3" customWidth="1" min="1" max="1"/>
    <col width="30" customWidth="1" min="2" max="2"/>
    <col width="30" customWidth="1" min="3" max="3"/>
    <col width="16" customWidth="1" min="4" max="4"/>
    <col width="30" customWidth="1" min="5" max="5"/>
    <col width="30" customWidth="1" min="6" max="6"/>
  </cols>
  <sheetData>
    <row r="1" ht="34" customHeight="1">
      <c r="A1" s="1" t="inlineStr">
        <is>
          <t>Data Quality</t>
        </is>
      </c>
    </row>
    <row r="2" ht="16" customHeight="1">
      <c r="A2" s="17"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f>IFERROR(TEXT(MAX(LOG_RefreshHistory[Timestamp]),"dd-mmm hh:mm"),"—")</f>
        <v/>
      </c>
      <c r="C12" s="7" t="n"/>
      <c r="D12" s="9">
        <f>IFERROR(SUM(LOG_RefreshHistory[RowsLoaded]),"—")</f>
        <v/>
      </c>
      <c r="E12" s="7" t="n"/>
      <c r="F12" s="9">
        <f>IFERROR(COUNTIF(LOG_DataQuality[Status],"WARNING*"),"—")</f>
        <v/>
      </c>
      <c r="G12" s="7" t="n"/>
      <c r="H12" s="39">
        <f>IFERROR(TODAY()-INT(MAX(LOG_RefreshHistory[Timestamp])),"—")</f>
        <v/>
      </c>
      <c r="I12" s="7" t="n"/>
    </row>
    <row r="13" ht="22" customHeight="1">
      <c r="B13" s="7" t="n"/>
      <c r="C13" s="7" t="n"/>
      <c r="D13" s="7" t="n"/>
      <c r="E13" s="7" t="n"/>
      <c r="F13" s="7" t="n"/>
      <c r="G13" s="7" t="n"/>
      <c r="H13" s="7" t="n"/>
      <c r="I13" s="7" t="n"/>
    </row>
    <row r="16">
      <c r="B16" s="11" t="inlineStr">
        <is>
          <t>VALIDATION RULES  (orange cells = configurable)</t>
        </is>
      </c>
    </row>
    <row r="17" ht="18" customHeight="1">
      <c r="B17" s="40" t="inlineStr">
        <is>
          <t>Rule ID</t>
        </is>
      </c>
      <c r="C17" s="40" t="inlineStr">
        <is>
          <t>Check Name</t>
        </is>
      </c>
      <c r="D17" s="40" t="inlineStr">
        <is>
          <t>Applies To</t>
        </is>
      </c>
      <c r="E17" s="40" t="inlineStr">
        <is>
          <t>Threshold</t>
        </is>
      </c>
    </row>
    <row r="18">
      <c r="B18" s="41" t="inlineStr">
        <is>
          <t>DQ-001</t>
        </is>
      </c>
      <c r="C18" s="41" t="inlineStr">
        <is>
          <t>No orders older than lookback window missing</t>
        </is>
      </c>
      <c r="D18" s="41" t="inlineStr">
        <is>
          <t>RAW_Orders</t>
        </is>
      </c>
      <c r="E18" s="41" t="inlineStr">
        <is>
          <t>0 gaps</t>
        </is>
      </c>
    </row>
    <row r="21">
      <c r="B21" s="11" t="inlineStr">
        <is>
          <t>REFRESH STATUS SUMMARY  (calculated — Phase 2)</t>
        </is>
      </c>
    </row>
    <row r="22" ht="18" customHeight="1">
      <c r="B22" s="42" t="inlineStr">
        <is>
          <t>Table</t>
        </is>
      </c>
      <c r="C22" s="42" t="inlineStr">
        <is>
          <t>Last Refreshed</t>
        </is>
      </c>
      <c r="D22" s="42" t="inlineStr">
        <is>
          <t>Row Count</t>
        </is>
      </c>
      <c r="E22" s="42" t="inlineStr">
        <is>
          <t>Status</t>
        </is>
      </c>
    </row>
    <row r="23">
      <c r="B23" s="30" t="n"/>
      <c r="C23" s="30" t="n"/>
      <c r="D23" s="30" t="n"/>
      <c r="E23" s="30" t="n"/>
    </row>
    <row r="26">
      <c r="B26" s="34" t="inlineStr">
        <is>
          <t>DATA QUALITY CHECKS</t>
        </is>
      </c>
    </row>
    <row r="27" ht="18" customHeight="1">
      <c r="B27" s="42" t="inlineStr">
        <is>
          <t>Check Name</t>
        </is>
      </c>
      <c r="C27" s="42" t="inlineStr">
        <is>
          <t>Metric</t>
        </is>
      </c>
      <c r="D27" s="42" t="inlineStr">
        <is>
          <t>Result</t>
        </is>
      </c>
      <c r="E27" s="42" t="inlineStr">
        <is>
          <t>Status</t>
        </is>
      </c>
      <c r="F27" s="42" t="inlineStr">
        <is>
          <t>Notes</t>
        </is>
      </c>
    </row>
    <row r="28" ht="26" customHeight="1">
      <c r="B28" s="30" t="inlineStr">
        <is>
          <t>Missing SKU</t>
        </is>
      </c>
      <c r="C28" s="43" t="inlineStr">
        <is>
          <t>RAW_Variants rows with a blank SKU</t>
        </is>
      </c>
      <c r="D28" s="44">
        <f>COUNTIFS(RAW_Variants[SKU],"")</f>
        <v/>
      </c>
      <c r="E28" s="30">
        <f>IF(D28=0,"PASS","REVIEW")</f>
        <v/>
      </c>
      <c r="F28" s="43" t="inlineStr">
        <is>
          <t>Reused from Alerts (ALT-04) — same check, not recomputed differently here.</t>
        </is>
      </c>
    </row>
    <row r="29" ht="26" customHeight="1">
      <c r="B29" s="24" t="inlineStr">
        <is>
          <t>Missing Cost</t>
        </is>
      </c>
      <c r="C29" s="20" t="inlineStr">
        <is>
          <t>Order lines with no matching Product Cost Master row</t>
        </is>
      </c>
      <c r="D29" s="45">
        <f>CUBEVALUE("ThisWorkbookDataModel","[Measures].[Lines Missing Cost]")</f>
        <v/>
      </c>
      <c r="E29" s="24">
        <f>IF(D29=0,"PASS","REVIEW")</f>
        <v/>
      </c>
      <c r="F29" s="20" t="inlineStr">
        <is>
          <t>Reused from dax/MEASURES.md's [Lines Missing Cost] — same measure Alerts (ALT-03) reads.</t>
        </is>
      </c>
    </row>
    <row r="30" ht="26" customHeight="1">
      <c r="B30" s="24" t="inlineStr">
        <is>
          <t>Missing Supplier</t>
        </is>
      </c>
      <c r="C30" s="20" t="inlineStr">
        <is>
          <t>SKUs with no PrimarySupplierID (DIM_Product)</t>
        </is>
      </c>
      <c r="D30" s="45">
        <f>COUNTIFS(DIM_Product[PrimarySupplierID],"")</f>
        <v/>
      </c>
      <c r="E30" s="24">
        <f>IF(D30=0,"PASS","REVIEW")</f>
        <v/>
      </c>
      <c r="F30" s="20" t="inlineStr">
        <is>
          <t>PrimarySupplierID is best-effort (most recent Goods Receipt per SKU) — see DIM_Product.pq. A count here is expected for never-received SKUs, not necessarily an error.</t>
        </is>
      </c>
    </row>
    <row r="31" ht="26" customHeight="1">
      <c r="B31" s="24" t="inlineStr">
        <is>
          <t>Duplicate Orders</t>
        </is>
      </c>
      <c r="C31" s="20" t="inlineStr">
        <is>
          <t>OrderIDs appearing more than once in RAW_Orders</t>
        </is>
      </c>
      <c r="D31" s="45">
        <f>SUMPRODUCT((COUNTIF(RAW_Orders[OrderID],RAW_Orders[OrderID])&gt;1)*1)</f>
        <v/>
      </c>
      <c r="E31" s="24">
        <f>IF(D31=0,"PASS","REVIEW")</f>
        <v/>
      </c>
      <c r="F31" s="20" t="inlineStr">
        <is>
          <t>Should always be 0 — Shopify order IDs are unique. A nonzero count means the Power Query refresh appended duplicate rows; check RAW_Orders.pq's incremental-window logic first.</t>
        </is>
      </c>
    </row>
    <row r="32" ht="26" customHeight="1">
      <c r="B32" s="24" t="inlineStr">
        <is>
          <t>Duplicate Expenses</t>
        </is>
      </c>
      <c r="C32" s="20" t="inlineStr">
        <is>
          <t>Manual Expenses flagged Possible Duplicate</t>
        </is>
      </c>
      <c r="D32" s="45">
        <f>COUNTIF(tbl_ManualExpenses[Possible Duplicate],"Possible Duplicate")</f>
        <v/>
      </c>
      <c r="E32" s="24">
        <f>IF(D32=0,"PASS","REVIEW")</f>
        <v/>
      </c>
      <c r="F32" s="20" t="inlineStr">
        <is>
          <t>Reused from Alerts (ALT-06) and Phase 3's own duplicate-flag column — not recomputed.</t>
        </is>
      </c>
    </row>
    <row r="33" ht="26" customHeight="1">
      <c r="B33" s="24" t="inlineStr">
        <is>
          <t>Products without Collection</t>
        </is>
      </c>
      <c r="C33" s="20" t="inlineStr">
        <is>
          <t>RAW_Products rows with blank CollectionIDs</t>
        </is>
      </c>
      <c r="D33" s="45">
        <f>COUNTIFS(RAW_Products[CollectionIDs],"")</f>
        <v/>
      </c>
      <c r="E33" s="24">
        <f>IF(D33=0,"PASS","REVIEW")</f>
        <v/>
      </c>
      <c r="F33" s="20" t="inlineStr"/>
    </row>
    <row r="34" ht="26" customHeight="1">
      <c r="B34" s="24" t="inlineStr">
        <is>
          <t>Products without Images</t>
        </is>
      </c>
      <c r="C34" s="20" t="inlineStr">
        <is>
          <t>N/A — not computable with current data</t>
        </is>
      </c>
      <c r="D34" s="45">
        <f>"N/A"</f>
        <v/>
      </c>
      <c r="E34" s="24">
        <f>"N/A"</f>
        <v/>
      </c>
      <c r="F34" s="20" t="inlineStr">
        <is>
          <t>RAW_Products.pq never fetched image data (not in Phase 2's original scope, and Phase 6 must not modify Phase 2's files) — adding an `images` field to that GraphQL query is a clean, isolated future addition, not a Phase 6 change.</t>
        </is>
      </c>
    </row>
    <row r="35" ht="26" customHeight="1">
      <c r="B35" s="24" t="inlineStr">
        <is>
          <t>Negative Inventory</t>
        </is>
      </c>
      <c r="C35" s="20" t="inlineStr">
        <is>
          <t>RAW_InventoryLevels rows with Available &lt; 0</t>
        </is>
      </c>
      <c r="D35" s="45">
        <f>COUNTIFS(RAW_InventoryLevels[Available],"&lt;0")</f>
        <v/>
      </c>
      <c r="E35" s="24">
        <f>IF(D35=0,"PASS","REVIEW")</f>
        <v/>
      </c>
      <c r="F35" s="20" t="inlineStr">
        <is>
          <t>Should always be 0 — a negative available count usually signals an oversell or an inventory-sync issue in Shopify itself, not a workbook bug.</t>
        </is>
      </c>
    </row>
    <row r="36" ht="26" customHeight="1">
      <c r="B36" s="24" t="inlineStr">
        <is>
          <t>Missing Customer</t>
        </is>
      </c>
      <c r="C36" s="20" t="inlineStr">
        <is>
          <t>RAW_Orders rows with a blank CustomerID</t>
        </is>
      </c>
      <c r="D36" s="45">
        <f>COUNTIFS(RAW_Orders[CustomerID],"")</f>
        <v/>
      </c>
      <c r="E36" s="24">
        <f>IF(D36=0,"PASS","REVIEW")</f>
        <v/>
      </c>
      <c r="F36" s="20" t="inlineStr">
        <is>
          <t>Expected to be nonzero for legitimate guest checkouts — a HIGH count relative to total orders is the actual signal worth investigating, not any nonzero count.</t>
        </is>
      </c>
    </row>
    <row r="37" ht="26" customHeight="1">
      <c r="B37" s="24" t="inlineStr">
        <is>
          <t>Missing Payment</t>
        </is>
      </c>
      <c r="C37" s="20" t="inlineStr">
        <is>
          <t>Orders in RAW_Orders with no matching transaction in RAW_Transactions</t>
        </is>
      </c>
      <c r="D37" s="45">
        <f>SUMPRODUCT((COUNTIF(RAW_Transactions[OrderID],RAW_Orders[OrderID])=0)*1)</f>
        <v/>
      </c>
      <c r="E37" s="24">
        <f>IF(D37=0,"PASS","REVIEW")</f>
        <v/>
      </c>
      <c r="F37" s="20" t="inlineStr">
        <is>
          <t>An anti-join count — orders that exist but have zero associated payment transactions. Should be near 0 for a store where checkout = payment.</t>
        </is>
      </c>
    </row>
    <row r="38" ht="26" customHeight="1">
      <c r="B38" s="24" t="inlineStr">
        <is>
          <t>Refresh Failures</t>
        </is>
      </c>
      <c r="C38" s="20" t="inlineStr">
        <is>
          <t>Refreshes with an error condition (from LOG_DataQuality)</t>
        </is>
      </c>
      <c r="D38" s="45">
        <f>COUNTIF(LOG_DataQuality[Status],"WARNING*")</f>
        <v/>
      </c>
      <c r="E38" s="24">
        <f>IF(D38=0,"PASS","REVIEW")</f>
        <v/>
      </c>
      <c r="F38" s="20" t="inlineStr">
        <is>
          <t>Reused from Alerts (ALT-11) — same LOG_DataQuality check, not recomputed.</t>
        </is>
      </c>
    </row>
    <row r="40">
      <c r="B40" s="11" t="inlineStr">
        <is>
          <t>Overall Data Quality %</t>
        </is>
      </c>
      <c r="C40" s="46">
        <f>COUNTIF(E28:E38,"PASS")/(COUNTA(E28:E38)-COUNTIF(E28:E38,"N/A"))</f>
        <v/>
      </c>
    </row>
    <row r="42">
      <c r="B42" s="11" t="inlineStr">
        <is>
          <t>HISTORICAL REFRESH TREND  (Rows Loaded per refresh, from LOG_RefreshHistory)</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hyperlinks>
    <hyperlink xmlns:r="http://schemas.openxmlformats.org/officeDocument/2006/relationships" ref="A2" r:id="rId1"/>
  </hyperlinks>
  <pageMargins left="0.75" right="0.75" top="1" bottom="1" header="0.5" footer="0.5"/>
  <drawing xmlns:r="http://schemas.openxmlformats.org/officeDocument/2006/relationships" r:id="rId2"/>
  <tableParts count="3">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5.xml><?xml version="1.0" encoding="utf-8"?>
<worksheet xmlns="http://schemas.openxmlformats.org/spreadsheetml/2006/main">
  <sheetPr>
    <tabColor rgb="00404040"/>
    <outlinePr applyStyles="1" summaryBelow="0" summaryRight="1"/>
    <pageSetUpPr/>
  </sheetPr>
  <dimension ref="A1:F178"/>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17"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1" t="inlineStr">
        <is>
          <t>GENERAL SETTINGS  (orange cells = configurable)</t>
        </is>
      </c>
    </row>
    <row r="12" ht="16" customHeight="1">
      <c r="B12" s="47" t="inlineStr">
        <is>
          <t>Parameter</t>
        </is>
      </c>
      <c r="C12" s="47" t="inlineStr">
        <is>
          <t>Value</t>
        </is>
      </c>
      <c r="D12" s="47" t="inlineStr">
        <is>
          <t>Description</t>
        </is>
      </c>
    </row>
    <row r="13">
      <c r="B13" s="48" t="inlineStr">
        <is>
          <t>Company Name</t>
        </is>
      </c>
      <c r="C13" s="14" t="inlineStr">
        <is>
          <t>Passress</t>
        </is>
      </c>
      <c r="D13" s="43" t="inlineStr">
        <is>
          <t>Legal/trading name shown across dashboards.</t>
        </is>
      </c>
    </row>
    <row r="14">
      <c r="B14" s="48" t="inlineStr">
        <is>
          <t>Base Currency</t>
        </is>
      </c>
      <c r="C14" s="14" t="inlineStr">
        <is>
          <t>EGP</t>
        </is>
      </c>
      <c r="D14" s="43" t="inlineStr">
        <is>
          <t>Currency all imported Shopify data is stored in.</t>
        </is>
      </c>
    </row>
    <row r="15">
      <c r="B15" s="48" t="inlineStr">
        <is>
          <t>Reporting Currency</t>
        </is>
      </c>
      <c r="C15" s="14" t="inlineStr">
        <is>
          <t>EGP</t>
        </is>
      </c>
      <c r="D15" s="43" t="inlineStr">
        <is>
          <t>Currency used for dashboard display. Phase 1: same as base.</t>
        </is>
      </c>
    </row>
    <row r="16">
      <c r="B16" s="48" t="inlineStr">
        <is>
          <t>Fiscal Year Start Month</t>
        </is>
      </c>
      <c r="C16" s="14" t="inlineStr">
        <is>
          <t>January</t>
        </is>
      </c>
      <c r="D16" s="43" t="inlineStr">
        <is>
          <t>First month of fiscal year, used for YTD/FY calculations.</t>
        </is>
      </c>
    </row>
    <row r="17">
      <c r="B17" s="48" t="inlineStr">
        <is>
          <t>Default VAT Rate</t>
        </is>
      </c>
      <c r="C17" s="14" t="inlineStr">
        <is>
          <t>14%</t>
        </is>
      </c>
      <c r="D17" s="43" t="inlineStr">
        <is>
          <t>Egypt standard VAT — used for tax reconciliation.</t>
        </is>
      </c>
    </row>
    <row r="18">
      <c r="B18" s="48" t="inlineStr">
        <is>
          <t>Target Gross Margin %</t>
        </is>
      </c>
      <c r="C18" s="14" t="inlineStr">
        <is>
          <t>55%</t>
        </is>
      </c>
      <c r="D18" s="43" t="inlineStr">
        <is>
          <t>Benchmark used for profitability flags (Phase 3).</t>
        </is>
      </c>
    </row>
    <row r="21">
      <c r="B21" s="11" t="inlineStr">
        <is>
          <t>SHOPIFY CONNECTION SETTINGS  (fill in Store Domain to go live; token is never stored here)</t>
        </is>
      </c>
    </row>
    <row r="22" ht="16" customHeight="1">
      <c r="B22" s="47" t="inlineStr">
        <is>
          <t>Parameter</t>
        </is>
      </c>
      <c r="C22" s="47" t="inlineStr">
        <is>
          <t>Value</t>
        </is>
      </c>
      <c r="D22" s="47" t="inlineStr">
        <is>
          <t>Description</t>
        </is>
      </c>
    </row>
    <row r="23">
      <c r="B23" s="48" t="inlineStr">
        <is>
          <t>Shopify Store Domain</t>
        </is>
      </c>
      <c r="C23" s="14" t="inlineStr">
        <is>
          <t>your-store.myshopify.com</t>
        </is>
      </c>
      <c r="D23" s="43" t="inlineStr">
        <is>
          <t>Set this to your real *.myshopify.com domain to go live. The access token itself is never stored in this workbook — see power-query/README.md.</t>
        </is>
      </c>
    </row>
    <row r="24">
      <c r="B24" s="48" t="inlineStr">
        <is>
          <t>Shopify API Version</t>
        </is>
      </c>
      <c r="C24" s="14" t="inlineStr">
        <is>
          <t>2025-01</t>
        </is>
      </c>
      <c r="D24" s="43" t="inlineStr">
        <is>
          <t>Admin GraphQL API version pinned for Power Query — reviewed twice a year.</t>
        </is>
      </c>
    </row>
    <row r="25">
      <c r="B25" s="48" t="inlineStr">
        <is>
          <t>Lookback Days (Incremental Refresh)</t>
        </is>
      </c>
      <c r="C25" s="14" t="inlineStr">
        <is>
          <t>7</t>
        </is>
      </c>
      <c r="D25" s="43" t="inlineStr">
        <is>
          <t>Rolling re-check window: days of history re-pulled on every refresh so late-updated records are never missed.</t>
        </is>
      </c>
    </row>
    <row r="26">
      <c r="B26" s="48" t="inlineStr">
        <is>
          <t>Historical Backfill Start Date</t>
        </is>
      </c>
      <c r="C26" s="14" t="inlineStr">
        <is>
          <t>2024-01-01</t>
        </is>
      </c>
      <c r="D26" s="43" t="inlineStr">
        <is>
          <t>Earliest date fetched on a first-ever run (empty staging table). Ignored once a table has data — Lookback Days takes over.</t>
        </is>
      </c>
    </row>
    <row r="27">
      <c r="B27" s="48" t="inlineStr">
        <is>
          <t>Max Pages Per Refresh (Safety Cap)</t>
        </is>
      </c>
      <c r="C27" s="14" t="inlineStr">
        <is>
          <t>500</t>
        </is>
      </c>
      <c r="D27" s="43" t="inlineStr">
        <is>
          <t>Hard stop on pagination per query per refresh (500 pages x 250 records ≈ 125,000 rows), so a misconfigured filter can't run away.</t>
        </is>
      </c>
    </row>
    <row r="30">
      <c r="B30" s="11" t="inlineStr">
        <is>
          <t>CHART OF ACCOUNTS MAPPING  (orange cells = configurable)</t>
        </is>
      </c>
    </row>
    <row r="31" ht="18" customHeight="1">
      <c r="B31" s="40" t="inlineStr">
        <is>
          <t>Account Code</t>
        </is>
      </c>
      <c r="C31" s="40" t="inlineStr">
        <is>
          <t>Account Name</t>
        </is>
      </c>
      <c r="D31" s="40" t="inlineStr">
        <is>
          <t>Statement</t>
        </is>
      </c>
      <c r="E31" s="40" t="inlineStr">
        <is>
          <t>P&amp;L / BS Line</t>
        </is>
      </c>
      <c r="F31" s="40" t="inlineStr">
        <is>
          <t>Source</t>
        </is>
      </c>
    </row>
    <row r="32">
      <c r="B32" s="41" t="inlineStr">
        <is>
          <t>4000</t>
        </is>
      </c>
      <c r="C32" s="41" t="inlineStr">
        <is>
          <t>EXAMPLE — Net Sales</t>
        </is>
      </c>
      <c r="D32" s="41" t="inlineStr">
        <is>
          <t>P&amp;L</t>
        </is>
      </c>
      <c r="E32" s="41" t="inlineStr">
        <is>
          <t>Revenue</t>
        </is>
      </c>
      <c r="F32" s="41" t="inlineStr">
        <is>
          <t>FACT_OrderLines</t>
        </is>
      </c>
    </row>
    <row r="35">
      <c r="B35" s="11" t="inlineStr">
        <is>
          <t>WORKBOOK VERSION LOG  (system-maintained — every phase appends a row here)</t>
        </is>
      </c>
    </row>
    <row r="36" ht="18" customHeight="1">
      <c r="B36" s="42" t="inlineStr">
        <is>
          <t>Version</t>
        </is>
      </c>
      <c r="C36" s="42" t="inlineStr">
        <is>
          <t>Date</t>
        </is>
      </c>
      <c r="D36" s="42" t="inlineStr">
        <is>
          <t>Phase</t>
        </is>
      </c>
      <c r="E36" s="42" t="inlineStr">
        <is>
          <t>Summary</t>
        </is>
      </c>
    </row>
    <row r="37">
      <c r="B37" s="30" t="inlineStr">
        <is>
          <t>1.0</t>
        </is>
      </c>
      <c r="C37" s="30" t="inlineStr">
        <is>
          <t>2026-07-26</t>
        </is>
      </c>
      <c r="D37" s="30" t="inlineStr">
        <is>
          <t>Phase 1 — Workbook Foundation</t>
        </is>
      </c>
      <c r="E37" s="30" t="inlineStr">
        <is>
          <t>Structure, tables, named ranges, documentation. No live data, no calculations.</t>
        </is>
      </c>
    </row>
    <row r="38">
      <c r="B38" s="30" t="inlineStr">
        <is>
          <t>1.1</t>
        </is>
      </c>
      <c r="C38" s="30" t="inlineStr">
        <is>
          <t>2026-07-26</t>
        </is>
      </c>
      <c r="D38" s="30" t="inlineStr">
        <is>
          <t>Phase 1 Finalization</t>
        </is>
      </c>
      <c r="E38" s="30" t="inlineStr">
        <is>
          <t>01_Home's Workbook Version / Phase Completed KPI cards now read this table's last row live via formula — every future phase appends a row here and Home updates automatically.</t>
        </is>
      </c>
    </row>
    <row r="39">
      <c r="B39" s="30" t="inlineStr">
        <is>
          <t>2.0</t>
        </is>
      </c>
      <c r="C39" s="30" t="inlineStr">
        <is>
          <t>2026-07-26</t>
        </is>
      </c>
      <c r="D39" s="30" t="inlineStr">
        <is>
          <t>Phase 2 — Shopify GraphQL Ingestion Layer</t>
        </is>
      </c>
      <c r="E39" s="30"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30" t="inlineStr">
        <is>
          <t>3.0</t>
        </is>
      </c>
      <c r="C40" s="30" t="inlineStr">
        <is>
          <t>2026-07-26</t>
        </is>
      </c>
      <c r="D40" s="30" t="inlineStr">
        <is>
          <t>Phase 3 — Business Master Data &amp; Manual-Entry Engine</t>
        </is>
      </c>
      <c r="E40" s="30"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30" t="inlineStr">
        <is>
          <t>4.0</t>
        </is>
      </c>
      <c r="C41" s="30" t="inlineStr">
        <is>
          <t>2026-07-26</t>
        </is>
      </c>
      <c r="D41" s="30" t="inlineStr">
        <is>
          <t>Phase 4 — Financial Calculation Engine (Data Model + DAX)</t>
        </is>
      </c>
      <c r="E41" s="30"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2">
      <c r="B42" s="30" t="inlineStr">
        <is>
          <t>5.0</t>
        </is>
      </c>
      <c r="C42" s="30" t="inlineStr">
        <is>
          <t>2026-07-26</t>
        </is>
      </c>
      <c r="D42" s="30" t="inlineStr">
        <is>
          <t>Phase 5 — BI Application Layer (Dashboards, Insights, Alerts, Budget, Forecast)</t>
        </is>
      </c>
      <c r="E42" s="30" t="inlineStr">
        <is>
          <t>02_Partner_Dashboard and 03_CEO_Dashboard rebuilt with real content: live KPI cards, a 12-month trend chart, and a Top-5-products list, all built with CUBEVALUE/CUBESET/CUBERANKEDMEMBER formulas reading the Data Model directly — no PivotTable required, so these resolve for real once the Data Model is wired, not just placeholders. BI_Insights and BI_Alerts (new hidden BI_ sheets): CUBEVALUE-driven auto-generated business insights and operational alerts, reusing Phase 2-4's own data-quality/reconciliation logic rather than duplicating it. BI_Forecast: rolling linear-trend forecasts (Excel's native FORECAST.LINEAR) for Sales/Expenses/Profit/Inventory/Cash, with an explicit Method column so a future AI forecasting layer is a swap-in, not a redesign. KPI Targets (15_Settings) and a yearly/monthly Budget module (08_Finance) with Actual-vs-Target and Actual/Forecast-vs-Budget DAX measures (dax/PHASE5_MEASURES_ADDENDUM.md, additive to Phase 4's MEASURES.md). Marketing-Ready Layer: 6 reserved, unconnected RAW_ tables (Meta/Google Analytics/Google Ads/TikTok/Email/Influencer) plus FACT_MarketingSpend, matching Phase 1's original placeholder pattern. FUTURE_AI_Insights: a reserved, unimplemented inventory of future AI features. Every dashboard now has a clickable breadcrumb back to 01_Home (title_bar's Home link). Global Filters panel (01_Home) prepares named filter cells for future slicer-equivalent filtering; native Excel Slicers still need real PivotTables (Phase 6) to attach to. Dashboards are landscape, fit-to-width, print-area-scoped for clean PDF export. See /passress-mis/PHASE5_DOCUMENTATION.md.</t>
        </is>
      </c>
    </row>
    <row r="43">
      <c r="B43" s="30" t="inlineStr">
        <is>
          <t>6.0</t>
        </is>
      </c>
      <c r="C43" s="30" t="inlineStr">
        <is>
          <t>2026-07-26</t>
        </is>
      </c>
      <c r="D43" s="30" t="inlineStr">
        <is>
          <t>Phase 6 — Operational Excellence, Automation, Auditability, Production Readiness</t>
        </is>
      </c>
      <c r="E43" s="30" t="inlineStr">
        <is>
          <t>RPT_ExecutiveBrief (new hidden sheet, linked from 01_Home): one-page A4-printable daily brief — today's Revenue/Orders/Gross Profit/Margin, Cash Position, Inventory Value, Revenue vs Yesterday, Top 5 Products/Collections, Critical Alerts, Business Health Score, Executive Commentary — also serves as the Automated Daily Report (print-ready from the start, no separate duplicate sheet). BI_HealthScore: the master 0-100 Business Health Score, 10 weighted components (weights editable on 15_Settings' new tbl_HealthScoreWeights), Red/Amber/Green status. 14_Data_Quality expanded with 11 checks (Missing SKU/Cost/Supplier, Duplicate Orders/Expenses, Products without Collection/Images, Negative Inventory, Missing Customer/Payment, Refresh Failures — Products without Images marked N/A, honestly, since RAW_Products.pq was never extended to fetch image data and Phase 6 must not modify Phase 2), an Overall Data Quality % (named range, reused by the Health Score), and a Historical Refresh Trend chart. RPT_Workflow (new hidden sheet): Purchase Orders/Open Orders/Pending Receipts/Inventory to Receive/Supplier Status/Capital Remaining/Outstanding Expenses/Monthly Purchasing — reuses existing measures under workflow-specific labels rather than inventing new ones. DIM_Date.pq extended (additively — every existing column unchanged) with IsWorkingDay/IsHoliday/HolidayName, reading a new empty-by-default Holidays table (15_Settings) — MTD/QTD/YTD/Rolling 12/Previous Year/SPLY needed no new columns, already fully covered by Phase 4's time intelligence. Drill-through hyperlinks added from Partner/CEO Dashboard KPI sections to their detail sheets (04_Sales/06_Customers/07_Inventory/09_Profitability/10_Expenses) — link-based navigation, not true OLAP drill-through, which needs real PivotTables (Phase 7+). PRODUCTION READINESS REVIEW found and fixed 5 real bugs: SKUList/CollectionTitleList named ranges and 3 Phase 5 Alert formulas referenced Phase 1's placeholder table names (tbl_RAW_Variants, tbl_LOG_RefreshHistory, tbl_LOG_DataQuality) instead of the permanent post-Power-Query-wiring names (RAW_Variants, LOG_RefreshHistory, LOG_DataQuality) — every DAX measure already used the correct convention; only these 5 worksheet-formula references were wrong, now fixed. Full findings in /passress-mis/PHASE6_PRODUCTION_READINESS_REVIEW.md; what's new in /passress-mis/PHASE6_DOCUMENTATION.md.</t>
        </is>
      </c>
    </row>
    <row r="44">
      <c r="B44" s="30" t="inlineStr">
        <is>
          <t>7.0</t>
        </is>
      </c>
      <c r="C44" s="30" t="inlineStr">
        <is>
          <t>2026-07-26</t>
        </is>
      </c>
      <c r="D44" s="30" t="inlineStr">
        <is>
          <t>Phase 7 — Production Readiness Certification</t>
        </is>
      </c>
      <c r="E44" s="30" t="inlineStr">
        <is>
          <t>Full line-by-line review of build_workbook.py, every Power Query shared function, a representative cross-section of staging/star-schema queries, and the complete DAX measure library, against explicit correctness/performance/security criteria. Found and fixed 5 real defects: BI_Alerts ALT-10's stray placeholder-token formula (simplified, no functional change but removed a maintenance trap); 14_Data_Quality's Historical Refresh Trend chart was off-by-one, silently dropping the first logged refresh; BI_Insights' INS-06/INS-07 (Best/Weakest seller) called CUBERANKEDMEMBER against an unordered, unranked MDX set, so both insights always showed the identical arbitrary product instead of true sales-ranked results — fixed with proper CUBESET-backed ranking (BDESC/BASC by Net Sales), the same pattern used everywhere else in the workbook; 01_Home's and 14_Data_Quality's Last Refresh/Data Quality/Rows Loaded/Errors Found KPI cards were left as static Phase 1 placeholders despite their own doc_block promising live LOG_ data — wired to existing LOG_RefreshHistory/LOG_DataQuality/OverallDataQualityPct sources, no new measures. Also corrected the now-inaccurate 'Placeholder, built in Phase 4' label on 04_Sales/06_Customers/07_Inventory/09_Profitability/13_Marketing/05_Products/08_Finance's still-unbuilt generic dashboard chart/PivotTable placeholders — deliberately left unbuilt (never commissioned by any phase's brief, and wiring their KPI cards would require inventing new DAX measures outside this phase's 'no new features' scope) but the stale phase-attribution text was actively misleading and is now accurate. Four new documentation deliverables: DEPLOYMENT_GUIDE.md, OPERATIONS_MANUAL.md, TECHNICAL_DOCUMENTATION.md, and PHASE7_FINAL_ARCHITECTURE_REVIEW.md (technical debt, performance/security review, SQL Server + Power BI migration path). No architecture changes, no new dashboards or modules — additive fixes and documentation only, per this phase's explicit scope.</t>
        </is>
      </c>
    </row>
    <row r="47">
      <c r="B47" s="11" t="inlineStr">
        <is>
          <t>MASTER DATA LOOKUP TABLES  (orange cells = configurable — edit freely, every dropdown in the workbook reads from here)</t>
        </is>
      </c>
    </row>
    <row r="48" ht="16" customHeight="1">
      <c r="B48" s="47" t="inlineStr">
        <is>
          <t>Expense Category</t>
        </is>
      </c>
    </row>
    <row r="49">
      <c r="B49" s="49" t="inlineStr">
        <is>
          <t>Rent</t>
        </is>
      </c>
    </row>
    <row r="50">
      <c r="B50" s="49" t="inlineStr">
        <is>
          <t>Utilities</t>
        </is>
      </c>
    </row>
    <row r="51">
      <c r="B51" s="49" t="inlineStr">
        <is>
          <t>Salaries</t>
        </is>
      </c>
    </row>
    <row r="52">
      <c r="B52" s="49" t="inlineStr">
        <is>
          <t>Marketing</t>
        </is>
      </c>
    </row>
    <row r="53">
      <c r="B53" s="49" t="inlineStr">
        <is>
          <t>Shipping &amp; Logistics</t>
        </is>
      </c>
    </row>
    <row r="54">
      <c r="B54" s="49" t="inlineStr">
        <is>
          <t>Packaging</t>
        </is>
      </c>
    </row>
    <row r="55">
      <c r="B55" s="49" t="inlineStr">
        <is>
          <t>Software &amp; Subscriptions</t>
        </is>
      </c>
    </row>
    <row r="56">
      <c r="B56" s="49" t="inlineStr">
        <is>
          <t>Professional Fees</t>
        </is>
      </c>
    </row>
    <row r="57">
      <c r="B57" s="49" t="inlineStr">
        <is>
          <t>Bank Charges</t>
        </is>
      </c>
    </row>
    <row r="58">
      <c r="B58" s="49" t="inlineStr">
        <is>
          <t>Other</t>
        </is>
      </c>
    </row>
    <row r="60" ht="16" customHeight="1">
      <c r="B60" s="47" t="inlineStr">
        <is>
          <t>Expense Subcategory</t>
        </is>
      </c>
    </row>
    <row r="61">
      <c r="B61" s="49" t="inlineStr">
        <is>
          <t>General</t>
        </is>
      </c>
    </row>
    <row r="62">
      <c r="B62" s="49" t="inlineStr">
        <is>
          <t>Office</t>
        </is>
      </c>
    </row>
    <row r="63">
      <c r="B63" s="49" t="inlineStr">
        <is>
          <t>Warehouse</t>
        </is>
      </c>
    </row>
    <row r="64">
      <c r="B64" s="49" t="inlineStr">
        <is>
          <t>Online Ads</t>
        </is>
      </c>
    </row>
    <row r="65">
      <c r="B65" s="49" t="inlineStr">
        <is>
          <t>Influencer</t>
        </is>
      </c>
    </row>
    <row r="66">
      <c r="B66" s="49" t="inlineStr">
        <is>
          <t>Photography</t>
        </is>
      </c>
    </row>
    <row r="67">
      <c r="B67" s="49" t="inlineStr">
        <is>
          <t>Courier</t>
        </is>
      </c>
    </row>
    <row r="68">
      <c r="B68" s="49" t="inlineStr">
        <is>
          <t>Customs &amp; Duties</t>
        </is>
      </c>
    </row>
    <row r="69">
      <c r="B69" s="49" t="inlineStr">
        <is>
          <t>Software License</t>
        </is>
      </c>
    </row>
    <row r="70">
      <c r="B70" s="49" t="inlineStr">
        <is>
          <t>Legal</t>
        </is>
      </c>
    </row>
    <row r="71">
      <c r="B71" s="49" t="inlineStr">
        <is>
          <t>Accounting</t>
        </is>
      </c>
    </row>
    <row r="72">
      <c r="B72" s="49" t="inlineStr">
        <is>
          <t>Other</t>
        </is>
      </c>
    </row>
    <row r="74" ht="16" customHeight="1">
      <c r="B74" s="47" t="inlineStr">
        <is>
          <t>Cost Center</t>
        </is>
      </c>
    </row>
    <row r="75">
      <c r="B75" s="49" t="inlineStr">
        <is>
          <t>Head Office</t>
        </is>
      </c>
    </row>
    <row r="76">
      <c r="B76" s="49" t="inlineStr">
        <is>
          <t>Warehouse</t>
        </is>
      </c>
    </row>
    <row r="77">
      <c r="B77" s="49" t="inlineStr">
        <is>
          <t>E-Commerce</t>
        </is>
      </c>
    </row>
    <row r="78">
      <c r="B78" s="49" t="inlineStr">
        <is>
          <t>Marketing</t>
        </is>
      </c>
    </row>
    <row r="79">
      <c r="B79" s="49" t="inlineStr">
        <is>
          <t>Production</t>
        </is>
      </c>
    </row>
    <row r="81" ht="16" customHeight="1">
      <c r="B81" s="47" t="inlineStr">
        <is>
          <t>Payment Method</t>
        </is>
      </c>
    </row>
    <row r="82">
      <c r="B82" s="49" t="inlineStr">
        <is>
          <t>Bank Transfer</t>
        </is>
      </c>
    </row>
    <row r="83">
      <c r="B83" s="49" t="inlineStr">
        <is>
          <t>Cash</t>
        </is>
      </c>
    </row>
    <row r="84">
      <c r="B84" s="49" t="inlineStr">
        <is>
          <t>Credit Card</t>
        </is>
      </c>
    </row>
    <row r="85">
      <c r="B85" s="49" t="inlineStr">
        <is>
          <t>Instapay</t>
        </is>
      </c>
    </row>
    <row r="86">
      <c r="B86" s="49" t="inlineStr">
        <is>
          <t>Cheque</t>
        </is>
      </c>
    </row>
    <row r="87">
      <c r="B87" s="49" t="inlineStr">
        <is>
          <t>Other</t>
        </is>
      </c>
    </row>
    <row r="89" ht="16" customHeight="1">
      <c r="B89" s="47" t="inlineStr">
        <is>
          <t>Currency</t>
        </is>
      </c>
    </row>
    <row r="90">
      <c r="B90" s="49" t="inlineStr">
        <is>
          <t>EGP</t>
        </is>
      </c>
    </row>
    <row r="91">
      <c r="B91" s="49" t="inlineStr">
        <is>
          <t>USD</t>
        </is>
      </c>
    </row>
    <row r="92">
      <c r="B92" s="49" t="inlineStr">
        <is>
          <t>EUR</t>
        </is>
      </c>
    </row>
    <row r="93">
      <c r="B93" s="49" t="inlineStr">
        <is>
          <t>GBP</t>
        </is>
      </c>
    </row>
    <row r="95" ht="16" customHeight="1">
      <c r="B95" s="47" t="inlineStr">
        <is>
          <t>Supplier Type</t>
        </is>
      </c>
    </row>
    <row r="96">
      <c r="B96" s="49" t="inlineStr">
        <is>
          <t>Fabric</t>
        </is>
      </c>
    </row>
    <row r="97">
      <c r="B97" s="49" t="inlineStr">
        <is>
          <t>Accessories</t>
        </is>
      </c>
    </row>
    <row r="98">
      <c r="B98" s="49" t="inlineStr">
        <is>
          <t>Manufacturing</t>
        </is>
      </c>
    </row>
    <row r="99">
      <c r="B99" s="49" t="inlineStr">
        <is>
          <t>Packaging</t>
        </is>
      </c>
    </row>
    <row r="100">
      <c r="B100" s="49" t="inlineStr">
        <is>
          <t>Logistics</t>
        </is>
      </c>
    </row>
    <row r="101">
      <c r="B101" s="49" t="inlineStr">
        <is>
          <t>Marketing Agency</t>
        </is>
      </c>
    </row>
    <row r="102">
      <c r="B102" s="49" t="inlineStr">
        <is>
          <t>Software Vendor</t>
        </is>
      </c>
    </row>
    <row r="103">
      <c r="B103" s="49" t="inlineStr">
        <is>
          <t>Other</t>
        </is>
      </c>
    </row>
    <row r="105" ht="16" customHeight="1">
      <c r="B105" s="47" t="inlineStr">
        <is>
          <t>Supplier Status</t>
        </is>
      </c>
    </row>
    <row r="106">
      <c r="B106" s="49" t="inlineStr">
        <is>
          <t>Active</t>
        </is>
      </c>
    </row>
    <row r="107">
      <c r="B107" s="49" t="inlineStr">
        <is>
          <t>Inactive</t>
        </is>
      </c>
    </row>
    <row r="108">
      <c r="B108" s="49" t="inlineStr">
        <is>
          <t>On Hold</t>
        </is>
      </c>
    </row>
    <row r="110" ht="16" customHeight="1">
      <c r="B110" s="47" t="inlineStr">
        <is>
          <t>Capital Transaction Type</t>
        </is>
      </c>
    </row>
    <row r="111">
      <c r="B111" s="49" t="inlineStr">
        <is>
          <t>Capital Contribution</t>
        </is>
      </c>
    </row>
    <row r="112">
      <c r="B112" s="49" t="inlineStr">
        <is>
          <t>Capital Withdrawal</t>
        </is>
      </c>
    </row>
    <row r="114" ht="16" customHeight="1">
      <c r="B114" s="47" t="inlineStr">
        <is>
          <t>PO Status</t>
        </is>
      </c>
    </row>
    <row r="115">
      <c r="B115" s="49" t="inlineStr">
        <is>
          <t>Draft</t>
        </is>
      </c>
    </row>
    <row r="116">
      <c r="B116" s="49" t="inlineStr">
        <is>
          <t>Approved</t>
        </is>
      </c>
    </row>
    <row r="117">
      <c r="B117" s="49" t="inlineStr">
        <is>
          <t>Sent</t>
        </is>
      </c>
    </row>
    <row r="118">
      <c r="B118" s="49" t="inlineStr">
        <is>
          <t>Partially Received</t>
        </is>
      </c>
    </row>
    <row r="119">
      <c r="B119" s="49" t="inlineStr">
        <is>
          <t>Received</t>
        </is>
      </c>
    </row>
    <row r="120">
      <c r="B120" s="49" t="inlineStr">
        <is>
          <t>Closed</t>
        </is>
      </c>
    </row>
    <row r="121">
      <c r="B121" s="49" t="inlineStr">
        <is>
          <t>Cancelled</t>
        </is>
      </c>
    </row>
    <row r="123" ht="16" customHeight="1">
      <c r="B123" s="47" t="inlineStr">
        <is>
          <t>Warehouse</t>
        </is>
      </c>
    </row>
    <row r="124">
      <c r="B124" s="49" t="inlineStr">
        <is>
          <t>Main Warehouse</t>
        </is>
      </c>
    </row>
    <row r="125">
      <c r="B125" s="49" t="inlineStr">
        <is>
          <t>Retail Store</t>
        </is>
      </c>
    </row>
    <row r="126">
      <c r="B126" s="49" t="inlineStr">
        <is>
          <t>Third-Party Logistics</t>
        </is>
      </c>
    </row>
    <row r="128" ht="16" customHeight="1">
      <c r="B128" s="47" t="inlineStr">
        <is>
          <t>Owner</t>
        </is>
      </c>
    </row>
    <row r="129">
      <c r="B129" s="49" t="inlineStr">
        <is>
          <t>Founder</t>
        </is>
      </c>
    </row>
    <row r="131" ht="16" customHeight="1">
      <c r="B131" s="47" t="inlineStr">
        <is>
          <t>Budget Period</t>
        </is>
      </c>
    </row>
    <row r="132">
      <c r="B132" s="49" t="inlineStr">
        <is>
          <t>Monthly</t>
        </is>
      </c>
    </row>
    <row r="133">
      <c r="B133" s="49" t="inlineStr">
        <is>
          <t>Yearly</t>
        </is>
      </c>
    </row>
    <row r="135" ht="16" customHeight="1">
      <c r="B135" s="47" t="inlineStr">
        <is>
          <t>Budget Category</t>
        </is>
      </c>
    </row>
    <row r="136">
      <c r="B136" s="49" t="inlineStr">
        <is>
          <t>Revenue</t>
        </is>
      </c>
    </row>
    <row r="137">
      <c r="B137" s="49" t="inlineStr">
        <is>
          <t>Expense</t>
        </is>
      </c>
    </row>
    <row r="138">
      <c r="B138" s="49" t="inlineStr">
        <is>
          <t>Marketing</t>
        </is>
      </c>
    </row>
    <row r="139">
      <c r="B139" s="49" t="inlineStr">
        <is>
          <t>Purchasing</t>
        </is>
      </c>
    </row>
    <row r="140">
      <c r="B140" s="49" t="inlineStr">
        <is>
          <t>Profit</t>
        </is>
      </c>
    </row>
    <row r="142" ht="16" customHeight="1">
      <c r="B142" s="47" t="inlineStr">
        <is>
          <t>Alert Severity</t>
        </is>
      </c>
    </row>
    <row r="143">
      <c r="B143" s="49" t="inlineStr">
        <is>
          <t>Info</t>
        </is>
      </c>
    </row>
    <row r="144">
      <c r="B144" s="49" t="inlineStr">
        <is>
          <t>Warning</t>
        </is>
      </c>
    </row>
    <row r="145">
      <c r="B145" s="49" t="inlineStr">
        <is>
          <t>Critical</t>
        </is>
      </c>
    </row>
    <row r="148">
      <c r="B148" s="11" t="inlineStr">
        <is>
          <t>KPI TARGETS  (green Target Value cells = type here)</t>
        </is>
      </c>
    </row>
    <row r="149" ht="18" customHeight="1">
      <c r="B149" s="35" t="inlineStr">
        <is>
          <t>KPI Name</t>
        </is>
      </c>
      <c r="C149" s="35" t="inlineStr">
        <is>
          <t>Target Value</t>
        </is>
      </c>
      <c r="D149" s="35" t="inlineStr">
        <is>
          <t>Unit</t>
        </is>
      </c>
      <c r="E149" s="35" t="inlineStr">
        <is>
          <t>Period</t>
        </is>
      </c>
      <c r="F149" s="35" t="inlineStr">
        <is>
          <t>Notes</t>
        </is>
      </c>
    </row>
    <row r="150">
      <c r="B150" s="30" t="inlineStr">
        <is>
          <t>Sales Target</t>
        </is>
      </c>
      <c r="C150" s="50" t="n">
        <v>500000</v>
      </c>
      <c r="D150" s="30" t="inlineStr">
        <is>
          <t>EGP</t>
        </is>
      </c>
      <c r="E150" s="50" t="inlineStr">
        <is>
          <t>Monthly</t>
        </is>
      </c>
      <c r="F150" s="30" t="inlineStr">
        <is>
          <t>Net Sales target</t>
        </is>
      </c>
    </row>
    <row r="151">
      <c r="B151" s="30" t="inlineStr">
        <is>
          <t>Margin Target</t>
        </is>
      </c>
      <c r="C151" s="50" t="n">
        <v>0.55</v>
      </c>
      <c r="D151" s="30" t="inlineStr">
        <is>
          <t>%</t>
        </is>
      </c>
      <c r="E151" s="50" t="inlineStr">
        <is>
          <t>Monthly</t>
        </is>
      </c>
      <c r="F151" s="30" t="inlineStr">
        <is>
          <t>Gross Margin % target</t>
        </is>
      </c>
    </row>
    <row r="152">
      <c r="B152" s="30" t="inlineStr">
        <is>
          <t>Orders Target</t>
        </is>
      </c>
      <c r="C152" s="50" t="n">
        <v>400</v>
      </c>
      <c r="D152" s="30" t="inlineStr">
        <is>
          <t>Count</t>
        </is>
      </c>
      <c r="E152" s="50" t="inlineStr">
        <is>
          <t>Monthly</t>
        </is>
      </c>
      <c r="F152" s="30" t="inlineStr">
        <is>
          <t>Order Count target</t>
        </is>
      </c>
    </row>
    <row r="153">
      <c r="B153" s="30" t="inlineStr">
        <is>
          <t>Inventory Target</t>
        </is>
      </c>
      <c r="C153" s="50" t="n">
        <v>300000</v>
      </c>
      <c r="D153" s="30" t="inlineStr">
        <is>
          <t>EGP</t>
        </is>
      </c>
      <c r="E153" s="50" t="inlineStr">
        <is>
          <t>Monthly</t>
        </is>
      </c>
      <c r="F153" s="30" t="inlineStr">
        <is>
          <t>Inventory Value ceiling (avoid overstock)</t>
        </is>
      </c>
    </row>
    <row r="154">
      <c r="B154" s="30" t="inlineStr">
        <is>
          <t>AOV Target</t>
        </is>
      </c>
      <c r="C154" s="50" t="n">
        <v>1200</v>
      </c>
      <c r="D154" s="30" t="inlineStr">
        <is>
          <t>EGP</t>
        </is>
      </c>
      <c r="E154" s="50" t="inlineStr">
        <is>
          <t>Monthly</t>
        </is>
      </c>
      <c r="F154" s="30" t="inlineStr">
        <is>
          <t>Average Order Value target</t>
        </is>
      </c>
    </row>
    <row r="155">
      <c r="B155" s="30" t="inlineStr">
        <is>
          <t>CAC Target</t>
        </is>
      </c>
      <c r="C155" s="50" t="n">
        <v>150</v>
      </c>
      <c r="D155" s="30" t="inlineStr">
        <is>
          <t>EGP</t>
        </is>
      </c>
      <c r="E155" s="50" t="inlineStr">
        <is>
          <t>Monthly</t>
        </is>
      </c>
      <c r="F155" s="30" t="inlineStr">
        <is>
          <t>Customer Acquisition Cost ceiling — needs Marketing-Ready spend data (Phase 6+) to compute Actual</t>
        </is>
      </c>
    </row>
    <row r="156">
      <c r="B156" s="30" t="inlineStr">
        <is>
          <t>ROAS Target</t>
        </is>
      </c>
      <c r="C156" s="50" t="n">
        <v>4</v>
      </c>
      <c r="D156" s="30" t="inlineStr">
        <is>
          <t>Ratio</t>
        </is>
      </c>
      <c r="E156" s="50" t="inlineStr">
        <is>
          <t>Monthly</t>
        </is>
      </c>
      <c r="F156" s="30" t="inlineStr">
        <is>
          <t>Return on Ad Spend target — needs Marketing-Ready spend data (Phase 6+) to compute Actual</t>
        </is>
      </c>
    </row>
    <row r="157">
      <c r="B157" s="30" t="inlineStr">
        <is>
          <t>Repeat Customer % Target</t>
        </is>
      </c>
      <c r="C157" s="50" t="n">
        <v>0.3</v>
      </c>
      <c r="D157" s="30" t="inlineStr">
        <is>
          <t>%</t>
        </is>
      </c>
      <c r="E157" s="50" t="inlineStr">
        <is>
          <t>Monthly</t>
        </is>
      </c>
      <c r="F157" s="30" t="inlineStr">
        <is>
          <t>Returning Customers / Customers Active target</t>
        </is>
      </c>
    </row>
    <row r="158">
      <c r="B158" s="30" t="inlineStr">
        <is>
          <t>Conversion Rate Target</t>
        </is>
      </c>
      <c r="C158" s="50" t="n">
        <v>0.02</v>
      </c>
      <c r="D158" s="30" t="inlineStr">
        <is>
          <t>%</t>
        </is>
      </c>
      <c r="E158" s="50" t="inlineStr">
        <is>
          <t>Monthly</t>
        </is>
      </c>
      <c r="F158" s="30" t="inlineStr">
        <is>
          <t>Needs Shopify session/traffic data (not fetched — Admin API has no storefront analytics) to compute Actual</t>
        </is>
      </c>
    </row>
    <row r="159">
      <c r="B159" s="30" t="inlineStr">
        <is>
          <t>Inventory Turnover Target</t>
        </is>
      </c>
      <c r="C159" s="50" t="n">
        <v>6</v>
      </c>
      <c r="D159" s="30" t="inlineStr">
        <is>
          <t>Ratio</t>
        </is>
      </c>
      <c r="E159" s="50" t="inlineStr">
        <is>
          <t>Yearly</t>
        </is>
      </c>
      <c r="F159" s="30" t="inlineStr">
        <is>
          <t>COGS / Average Inventory Value target</t>
        </is>
      </c>
    </row>
    <row r="162">
      <c r="B162" s="11" t="inlineStr">
        <is>
          <t>BUSINESS HEALTH SCORE WEIGHTS  (green cells = type here — must be numeric, any scale)</t>
        </is>
      </c>
    </row>
    <row r="163" ht="18" customHeight="1">
      <c r="B163" s="35" t="inlineStr">
        <is>
          <t>Component</t>
        </is>
      </c>
      <c r="C163" s="35" t="inlineStr">
        <is>
          <t>Weight</t>
        </is>
      </c>
    </row>
    <row r="164">
      <c r="B164" s="30" t="inlineStr">
        <is>
          <t>Revenue Growth</t>
        </is>
      </c>
      <c r="C164" s="50" t="n">
        <v>15</v>
      </c>
    </row>
    <row r="165">
      <c r="B165" s="30" t="inlineStr">
        <is>
          <t>Gross Margin</t>
        </is>
      </c>
      <c r="C165" s="50" t="n">
        <v>15</v>
      </c>
    </row>
    <row r="166">
      <c r="B166" s="30" t="inlineStr">
        <is>
          <t>Cash Position</t>
        </is>
      </c>
      <c r="C166" s="50" t="n">
        <v>15</v>
      </c>
    </row>
    <row r="167">
      <c r="B167" s="30" t="inlineStr">
        <is>
          <t>Inventory Health</t>
        </is>
      </c>
      <c r="C167" s="50" t="n">
        <v>10</v>
      </c>
    </row>
    <row r="168">
      <c r="B168" s="30" t="inlineStr">
        <is>
          <t>Customer Growth</t>
        </is>
      </c>
      <c r="C168" s="50" t="n">
        <v>10</v>
      </c>
    </row>
    <row r="169">
      <c r="B169" s="30" t="inlineStr">
        <is>
          <t>Repeat Customers</t>
        </is>
      </c>
      <c r="C169" s="50" t="n">
        <v>10</v>
      </c>
    </row>
    <row r="170">
      <c r="B170" s="30" t="inlineStr">
        <is>
          <t>Return Rate</t>
        </is>
      </c>
      <c r="C170" s="50" t="n">
        <v>10</v>
      </c>
    </row>
    <row r="171">
      <c r="B171" s="30" t="inlineStr">
        <is>
          <t>Budget Performance</t>
        </is>
      </c>
      <c r="C171" s="50" t="n">
        <v>5</v>
      </c>
    </row>
    <row r="172">
      <c r="B172" s="30" t="inlineStr">
        <is>
          <t>Data Quality</t>
        </is>
      </c>
      <c r="C172" s="50" t="n">
        <v>5</v>
      </c>
    </row>
    <row r="173">
      <c r="B173" s="30" t="inlineStr">
        <is>
          <t>Alerts</t>
        </is>
      </c>
      <c r="C173" s="50" t="n">
        <v>5</v>
      </c>
    </row>
    <row r="176">
      <c r="B176" s="11" t="inlineStr">
        <is>
          <t>HOLIDAYS  (green cells = type here — optional, empty by default)</t>
        </is>
      </c>
    </row>
    <row r="177" ht="18" customHeight="1">
      <c r="B177" s="35" t="inlineStr">
        <is>
          <t>Date</t>
        </is>
      </c>
      <c r="C177" s="35" t="inlineStr">
        <is>
          <t>Holiday Name</t>
        </is>
      </c>
    </row>
    <row r="178">
      <c r="B178" s="36" t="n"/>
      <c r="C178" s="36" t="inlineStr">
        <is>
          <t>EXAMPLE — delete or overwrite this row; leave the table empty if no holidays apply</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dataValidations count="1">
    <dataValidation sqref="E150:E159" showDropDown="0" showInputMessage="1" showErrorMessage="1" allowBlank="1" errorTitle="Invalid entry" error="Please choose a value from the Period list — free text isn't accepted here." promptTitle="Period" prompt="Monthly or Yearly." type="list" errorStyle="stop">
      <formula1>=LookupBudgetPeriod</formula1>
    </dataValidation>
  </dataValidations>
  <hyperlinks>
    <hyperlink xmlns:r="http://schemas.openxmlformats.org/officeDocument/2006/relationships" ref="A2" r:id="rId1"/>
  </hyperlinks>
  <pageMargins left="0.75" right="0.75" top="1" bottom="1" header="0.5" footer="0.5"/>
  <tableParts count="19">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17"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OrderID</t>
        </is>
      </c>
      <c r="C11" s="51" t="inlineStr">
        <is>
          <t>OrderNumber</t>
        </is>
      </c>
      <c r="D11" s="51" t="inlineStr">
        <is>
          <t>CreatedAt</t>
        </is>
      </c>
      <c r="E11" s="51" t="inlineStr">
        <is>
          <t>UpdatedAt</t>
        </is>
      </c>
      <c r="F11" s="51" t="inlineStr">
        <is>
          <t>FinancialStatus</t>
        </is>
      </c>
      <c r="G11" s="51" t="inlineStr">
        <is>
          <t>FulfillmentStatus</t>
        </is>
      </c>
      <c r="H11" s="51" t="inlineStr">
        <is>
          <t>Currency</t>
        </is>
      </c>
      <c r="I11" s="51" t="inlineStr">
        <is>
          <t>TotalPrice</t>
        </is>
      </c>
      <c r="J11" s="51" t="inlineStr">
        <is>
          <t>SubtotalPrice</t>
        </is>
      </c>
      <c r="K11" s="51" t="inlineStr">
        <is>
          <t>TotalDiscounts</t>
        </is>
      </c>
      <c r="L11" s="51" t="inlineStr">
        <is>
          <t>TotalTax</t>
        </is>
      </c>
      <c r="M11" s="51" t="inlineStr">
        <is>
          <t>CustomerID</t>
        </is>
      </c>
      <c r="N11" s="51" t="inlineStr">
        <is>
          <t>LocationID</t>
        </is>
      </c>
    </row>
    <row r="12">
      <c r="B12" s="52" t="n"/>
      <c r="C12" s="52" t="n"/>
      <c r="D12" s="52" t="n"/>
      <c r="E12" s="52" t="n"/>
      <c r="F12" s="52" t="n"/>
      <c r="G12" s="52" t="n"/>
      <c r="H12" s="52" t="n"/>
      <c r="I12" s="52" t="n"/>
      <c r="J12" s="52" t="n"/>
      <c r="K12" s="52" t="n"/>
      <c r="L12" s="52" t="n"/>
      <c r="M12" s="52" t="n"/>
      <c r="N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17"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LineItemID</t>
        </is>
      </c>
      <c r="C11" s="51" t="inlineStr">
        <is>
          <t>OrderID</t>
        </is>
      </c>
      <c r="D11" s="51" t="inlineStr">
        <is>
          <t>ProductID</t>
        </is>
      </c>
      <c r="E11" s="51" t="inlineStr">
        <is>
          <t>VariantID</t>
        </is>
      </c>
      <c r="F11" s="51" t="inlineStr">
        <is>
          <t>SKU</t>
        </is>
      </c>
      <c r="G11" s="51" t="inlineStr">
        <is>
          <t>Title</t>
        </is>
      </c>
      <c r="H11" s="51" t="inlineStr">
        <is>
          <t>Quantity</t>
        </is>
      </c>
      <c r="I11" s="51" t="inlineStr">
        <is>
          <t>UnitPrice</t>
        </is>
      </c>
      <c r="J11" s="51" t="inlineStr">
        <is>
          <t>DiscountAllocated</t>
        </is>
      </c>
      <c r="K11" s="51" t="inlineStr">
        <is>
          <t>TaxAllocated</t>
        </is>
      </c>
    </row>
    <row r="12">
      <c r="B12" s="52" t="n"/>
      <c r="C12" s="52" t="n"/>
      <c r="D12" s="52" t="n"/>
      <c r="E12" s="52" t="n"/>
      <c r="F12" s="52" t="n"/>
      <c r="G12" s="52" t="n"/>
      <c r="H12" s="52" t="n"/>
      <c r="I12" s="52" t="n"/>
      <c r="J12" s="52" t="n"/>
      <c r="K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17"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TransactionID</t>
        </is>
      </c>
      <c r="C11" s="51" t="inlineStr">
        <is>
          <t>OrderID</t>
        </is>
      </c>
      <c r="D11" s="51" t="inlineStr">
        <is>
          <t>Kind</t>
        </is>
      </c>
      <c r="E11" s="51" t="inlineStr">
        <is>
          <t>Status</t>
        </is>
      </c>
      <c r="F11" s="51" t="inlineStr">
        <is>
          <t>Gateway</t>
        </is>
      </c>
      <c r="G11" s="51" t="inlineStr">
        <is>
          <t>AmountShop</t>
        </is>
      </c>
      <c r="H11" s="51" t="inlineStr">
        <is>
          <t>CurrencyShop</t>
        </is>
      </c>
      <c r="I11" s="51" t="inlineStr">
        <is>
          <t>CreatedAt</t>
        </is>
      </c>
      <c r="J11" s="51" t="inlineStr">
        <is>
          <t>ProcessedAt</t>
        </is>
      </c>
      <c r="K11" s="51" t="inlineStr">
        <is>
          <t>Test</t>
        </is>
      </c>
    </row>
    <row r="12">
      <c r="B12" s="52" t="n"/>
      <c r="C12" s="52" t="n"/>
      <c r="D12" s="52" t="n"/>
      <c r="E12" s="52" t="n"/>
      <c r="F12" s="52" t="n"/>
      <c r="G12" s="52" t="n"/>
      <c r="H12" s="52" t="n"/>
      <c r="I12" s="52" t="n"/>
      <c r="J12" s="52" t="n"/>
      <c r="K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17"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RefundLineItemID</t>
        </is>
      </c>
      <c r="C11" s="51" t="inlineStr">
        <is>
          <t>RefundID</t>
        </is>
      </c>
      <c r="D11" s="51" t="inlineStr">
        <is>
          <t>OrderID</t>
        </is>
      </c>
      <c r="E11" s="51" t="inlineStr">
        <is>
          <t>LineItemID</t>
        </is>
      </c>
      <c r="F11" s="51" t="inlineStr">
        <is>
          <t>Quantity</t>
        </is>
      </c>
      <c r="G11" s="51" t="inlineStr">
        <is>
          <t>SubtotalAmount</t>
        </is>
      </c>
      <c r="H11" s="51" t="inlineStr">
        <is>
          <t>TaxAmount</t>
        </is>
      </c>
      <c r="I11" s="51" t="inlineStr">
        <is>
          <t>RefundCreatedAt</t>
        </is>
      </c>
      <c r="J11" s="51" t="inlineStr">
        <is>
          <t>RefundProcessedAt</t>
        </is>
      </c>
      <c r="K11" s="51" t="inlineStr">
        <is>
          <t>Note</t>
        </is>
      </c>
    </row>
    <row r="12">
      <c r="B12" s="52" t="n"/>
      <c r="C12" s="52" t="n"/>
      <c r="D12" s="52" t="n"/>
      <c r="E12" s="52" t="n"/>
      <c r="F12" s="52" t="n"/>
      <c r="G12" s="52" t="n"/>
      <c r="H12" s="52" t="n"/>
      <c r="I12" s="52" t="n"/>
      <c r="J12" s="52" t="n"/>
      <c r="K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17"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ProductID</t>
        </is>
      </c>
      <c r="C11" s="51" t="inlineStr">
        <is>
          <t>Title</t>
        </is>
      </c>
      <c r="D11" s="51" t="inlineStr">
        <is>
          <t>ProductType</t>
        </is>
      </c>
      <c r="E11" s="51" t="inlineStr">
        <is>
          <t>Vendor</t>
        </is>
      </c>
      <c r="F11" s="51" t="inlineStr">
        <is>
          <t>CollectionIDs</t>
        </is>
      </c>
      <c r="G11" s="51" t="inlineStr">
        <is>
          <t>CreatedAt</t>
        </is>
      </c>
      <c r="H11" s="51" t="inlineStr">
        <is>
          <t>UpdatedAt</t>
        </is>
      </c>
      <c r="I11" s="51" t="inlineStr">
        <is>
          <t>Status</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17"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VariantID</t>
        </is>
      </c>
      <c r="C11" s="51" t="inlineStr">
        <is>
          <t>ProductID</t>
        </is>
      </c>
      <c r="D11" s="51" t="inlineStr">
        <is>
          <t>SKU</t>
        </is>
      </c>
      <c r="E11" s="51" t="inlineStr">
        <is>
          <t>Title</t>
        </is>
      </c>
      <c r="F11" s="51" t="inlineStr">
        <is>
          <t>Price</t>
        </is>
      </c>
      <c r="G11" s="51" t="inlineStr">
        <is>
          <t>CompareAtPrice</t>
        </is>
      </c>
      <c r="H11" s="51" t="inlineStr">
        <is>
          <t>InventoryItemID</t>
        </is>
      </c>
      <c r="I11" s="51" t="inlineStr">
        <is>
          <t>UnitCost</t>
        </is>
      </c>
      <c r="J11" s="51" t="inlineStr">
        <is>
          <t>CreatedAt</t>
        </is>
      </c>
      <c r="K11" s="51" t="inlineStr">
        <is>
          <t>UpdatedAt</t>
        </is>
      </c>
    </row>
    <row r="12">
      <c r="B12" s="52" t="n"/>
      <c r="C12" s="52" t="n"/>
      <c r="D12" s="52" t="n"/>
      <c r="E12" s="52" t="n"/>
      <c r="F12" s="52" t="n"/>
      <c r="G12" s="52" t="n"/>
      <c r="H12" s="52" t="n"/>
      <c r="I12" s="52" t="n"/>
      <c r="J12" s="52" t="n"/>
      <c r="K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17"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InventoryItemID</t>
        </is>
      </c>
      <c r="C11" s="51" t="inlineStr">
        <is>
          <t>SKU</t>
        </is>
      </c>
      <c r="D11" s="51" t="inlineStr">
        <is>
          <t>LocationID</t>
        </is>
      </c>
      <c r="E11" s="51" t="inlineStr">
        <is>
          <t>Available</t>
        </is>
      </c>
      <c r="F11" s="51" t="inlineStr">
        <is>
          <t>UpdatedAt</t>
        </is>
      </c>
    </row>
    <row r="12">
      <c r="B12" s="52" t="n"/>
      <c r="C12" s="52" t="n"/>
      <c r="D12" s="52" t="n"/>
      <c r="E12" s="52" t="n"/>
      <c r="F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17"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CustomerID</t>
        </is>
      </c>
      <c r="C11" s="51" t="inlineStr">
        <is>
          <t>FirstName</t>
        </is>
      </c>
      <c r="D11" s="51" t="inlineStr">
        <is>
          <t>LastName</t>
        </is>
      </c>
      <c r="E11" s="51" t="inlineStr">
        <is>
          <t>Email</t>
        </is>
      </c>
      <c r="F11" s="51" t="inlineStr">
        <is>
          <t>CreatedAt</t>
        </is>
      </c>
      <c r="G11" s="51" t="inlineStr">
        <is>
          <t>UpdatedAt</t>
        </is>
      </c>
      <c r="H11" s="51" t="inlineStr">
        <is>
          <t>OrdersCount</t>
        </is>
      </c>
      <c r="I11" s="51" t="inlineStr">
        <is>
          <t>TotalSpent</t>
        </is>
      </c>
      <c r="J11" s="51" t="inlineStr">
        <is>
          <t>DefaultAddressCountry</t>
        </is>
      </c>
    </row>
    <row r="12">
      <c r="B12" s="52" t="n"/>
      <c r="C12" s="52" t="n"/>
      <c r="D12" s="52" t="n"/>
      <c r="E12" s="52" t="n"/>
      <c r="F12" s="52" t="n"/>
      <c r="G12" s="52" t="n"/>
      <c r="H12" s="52" t="n"/>
      <c r="I12" s="52" t="n"/>
      <c r="J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17"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CollectionID</t>
        </is>
      </c>
      <c r="C11" s="51" t="inlineStr">
        <is>
          <t>Title</t>
        </is>
      </c>
      <c r="D11" s="51" t="inlineStr">
        <is>
          <t>Handle</t>
        </is>
      </c>
    </row>
    <row r="12">
      <c r="B12" s="52" t="n"/>
      <c r="C12" s="52" t="n"/>
      <c r="D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17"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1" t="inlineStr">
        <is>
          <t>DiscountNodeID</t>
        </is>
      </c>
      <c r="C11" s="51" t="inlineStr">
        <is>
          <t>Typename</t>
        </is>
      </c>
      <c r="D11" s="51" t="inlineStr">
        <is>
          <t>Title</t>
        </is>
      </c>
      <c r="E11" s="51" t="inlineStr">
        <is>
          <t>Status</t>
        </is>
      </c>
      <c r="F11" s="51" t="inlineStr">
        <is>
          <t>Summary</t>
        </is>
      </c>
      <c r="G11" s="51" t="inlineStr">
        <is>
          <t>Code</t>
        </is>
      </c>
      <c r="H11" s="51" t="inlineStr">
        <is>
          <t>StartsAt</t>
        </is>
      </c>
      <c r="I11" s="51" t="inlineStr">
        <is>
          <t>EndsAt</t>
        </is>
      </c>
      <c r="J11" s="51" t="inlineStr">
        <is>
          <t>UsageLimit</t>
        </is>
      </c>
      <c r="K11" s="51" t="inlineStr">
        <is>
          <t>AsyncUsageCount</t>
        </is>
      </c>
      <c r="L11" s="51" t="inlineStr">
        <is>
          <t>CreatedAt</t>
        </is>
      </c>
      <c r="M11" s="51" t="inlineStr">
        <is>
          <t>UpdatedAt</t>
        </is>
      </c>
    </row>
    <row r="12">
      <c r="B12" s="52" t="n"/>
      <c r="C12" s="52" t="n"/>
      <c r="D12" s="52" t="n"/>
      <c r="E12" s="52" t="n"/>
      <c r="F12" s="52" t="n"/>
      <c r="G12" s="52" t="n"/>
      <c r="H12" s="52" t="n"/>
      <c r="I12" s="52" t="n"/>
      <c r="J12" s="52" t="n"/>
      <c r="K12" s="52" t="n"/>
      <c r="L12" s="52" t="n"/>
      <c r="M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17"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42" t="inlineStr">
        <is>
          <t>DateKey</t>
        </is>
      </c>
      <c r="C11" s="42" t="inlineStr">
        <is>
          <t>Date</t>
        </is>
      </c>
      <c r="D11" s="42" t="inlineStr">
        <is>
          <t>Year</t>
        </is>
      </c>
      <c r="E11" s="42" t="inlineStr">
        <is>
          <t>FiscalYear</t>
        </is>
      </c>
      <c r="F11" s="42" t="inlineStr">
        <is>
          <t>Quarter</t>
        </is>
      </c>
      <c r="G11" s="42" t="inlineStr">
        <is>
          <t>Month</t>
        </is>
      </c>
      <c r="H11" s="42" t="inlineStr">
        <is>
          <t>MonthName</t>
        </is>
      </c>
      <c r="I11" s="42" t="inlineStr">
        <is>
          <t>Week</t>
        </is>
      </c>
      <c r="J11" s="42" t="inlineStr">
        <is>
          <t>Day</t>
        </is>
      </c>
      <c r="K11" s="42" t="inlineStr">
        <is>
          <t>DayName</t>
        </is>
      </c>
      <c r="L11" s="42" t="inlineStr">
        <is>
          <t>IsWeekend</t>
        </is>
      </c>
    </row>
    <row r="12">
      <c r="B12" s="30" t="n"/>
      <c r="C12" s="30" t="n"/>
      <c r="D12" s="30" t="n"/>
      <c r="E12" s="30" t="n"/>
      <c r="F12" s="30" t="n"/>
      <c r="G12" s="30" t="n"/>
      <c r="H12" s="30" t="n"/>
      <c r="I12" s="30" t="n"/>
      <c r="J12" s="30" t="n"/>
      <c r="K12" s="30" t="n"/>
      <c r="L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17"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42" t="inlineStr">
        <is>
          <t>ProductKey</t>
        </is>
      </c>
      <c r="C11" s="42" t="inlineStr">
        <is>
          <t>ProductID</t>
        </is>
      </c>
      <c r="D11" s="42" t="inlineStr">
        <is>
          <t>SKU</t>
        </is>
      </c>
      <c r="E11" s="42" t="inlineStr">
        <is>
          <t>Title</t>
        </is>
      </c>
      <c r="F11" s="42" t="inlineStr">
        <is>
          <t>ProductType</t>
        </is>
      </c>
      <c r="G11" s="42" t="inlineStr">
        <is>
          <t>Vendor</t>
        </is>
      </c>
      <c r="H11" s="42" t="inlineStr">
        <is>
          <t>Collection</t>
        </is>
      </c>
      <c r="I11" s="42" t="inlineStr">
        <is>
          <t>UnitCost</t>
        </is>
      </c>
      <c r="J11" s="42" t="inlineStr">
        <is>
          <t>Status</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17"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42" t="inlineStr">
        <is>
          <t>CustomerKey</t>
        </is>
      </c>
      <c r="C11" s="42" t="inlineStr">
        <is>
          <t>CustomerID</t>
        </is>
      </c>
      <c r="D11" s="42" t="inlineStr">
        <is>
          <t>Name</t>
        </is>
      </c>
      <c r="E11" s="42" t="inlineStr">
        <is>
          <t>Email</t>
        </is>
      </c>
      <c r="F11" s="42" t="inlineStr">
        <is>
          <t>Country</t>
        </is>
      </c>
      <c r="G11" s="42" t="inlineStr">
        <is>
          <t>FirstOrderDate</t>
        </is>
      </c>
      <c r="H11" s="42" t="inlineStr">
        <is>
          <t>CustomerSegment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17"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42" t="inlineStr">
        <is>
          <t>LocationKey</t>
        </is>
      </c>
      <c r="C11" s="42" t="inlineStr">
        <is>
          <t>LocationID</t>
        </is>
      </c>
      <c r="D11" s="42" t="inlineStr">
        <is>
          <t>LocationName</t>
        </is>
      </c>
      <c r="E11" s="42" t="inlineStr">
        <is>
          <t>City</t>
        </is>
      </c>
      <c r="F11" s="42" t="inlineStr">
        <is>
          <t>Country</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17"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42" t="inlineStr">
        <is>
          <t>CollectionKey</t>
        </is>
      </c>
      <c r="C11" s="42" t="inlineStr">
        <is>
          <t>CollectionID</t>
        </is>
      </c>
      <c r="D11" s="42" t="inlineStr">
        <is>
          <t>Title</t>
        </is>
      </c>
      <c r="E11" s="42" t="inlineStr">
        <is>
          <t>Handle</t>
        </is>
      </c>
    </row>
    <row r="12">
      <c r="B12" s="30" t="n"/>
      <c r="C12" s="30" t="n"/>
      <c r="D12" s="30" t="n"/>
      <c r="E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17"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42" t="inlineStr">
        <is>
          <t>ParameterName</t>
        </is>
      </c>
      <c r="C11" s="42" t="inlineStr">
        <is>
          <t>ParameterValue</t>
        </is>
      </c>
    </row>
    <row r="12">
      <c r="B12" s="30" t="n"/>
      <c r="C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17"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42" t="inlineStr">
        <is>
          <t>SupplierKey</t>
        </is>
      </c>
      <c r="C11" s="42" t="inlineStr">
        <is>
          <t>SupplierID</t>
        </is>
      </c>
      <c r="D11" s="42" t="inlineStr">
        <is>
          <t>SupplierName</t>
        </is>
      </c>
      <c r="E11" s="42" t="inlineStr">
        <is>
          <t>SupplierType</t>
        </is>
      </c>
      <c r="F11" s="42" t="inlineStr">
        <is>
          <t>Currency</t>
        </is>
      </c>
      <c r="G11" s="42" t="inlineStr">
        <is>
          <t>Status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17"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42" t="inlineStr">
        <is>
          <t>CostKey</t>
        </is>
      </c>
      <c r="C11" s="42" t="inlineStr">
        <is>
          <t>SKU</t>
        </is>
      </c>
      <c r="D11" s="42" t="inlineStr">
        <is>
          <t>Collection</t>
        </is>
      </c>
      <c r="E11" s="42" t="inlineStr">
        <is>
          <t>TotalLandedCost</t>
        </is>
      </c>
      <c r="F11" s="42" t="inlineStr">
        <is>
          <t>SellingPrice</t>
        </is>
      </c>
      <c r="G11" s="42" t="inlineStr">
        <is>
          <t>ExpectedGrossMarginPct</t>
        </is>
      </c>
      <c r="H11" s="42" t="inlineStr">
        <is>
          <t>EffectiveFromDate</t>
        </is>
      </c>
      <c r="I11" s="42" t="inlineStr">
        <is>
          <t>EffectiveToDate</t>
        </is>
      </c>
      <c r="J11" s="42" t="inlineStr">
        <is>
          <t>ActiveFlag</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17"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42" t="inlineStr">
        <is>
          <t>OrderLineKey</t>
        </is>
      </c>
      <c r="C11" s="42" t="inlineStr">
        <is>
          <t>OrderID</t>
        </is>
      </c>
      <c r="D11" s="42" t="inlineStr">
        <is>
          <t>DateKey</t>
        </is>
      </c>
      <c r="E11" s="42" t="inlineStr">
        <is>
          <t>ProductKey</t>
        </is>
      </c>
      <c r="F11" s="42" t="inlineStr">
        <is>
          <t>CustomerKey</t>
        </is>
      </c>
      <c r="G11" s="42" t="inlineStr">
        <is>
          <t>LocationKey</t>
        </is>
      </c>
      <c r="H11" s="42" t="inlineStr">
        <is>
          <t>Quantity</t>
        </is>
      </c>
      <c r="I11" s="42" t="inlineStr">
        <is>
          <t>UnitPrice</t>
        </is>
      </c>
      <c r="J11" s="42" t="inlineStr">
        <is>
          <t>GrossAmount</t>
        </is>
      </c>
      <c r="K11" s="42" t="inlineStr">
        <is>
          <t>DiscountAmount</t>
        </is>
      </c>
      <c r="L11" s="42" t="inlineStr">
        <is>
          <t>TaxAmount</t>
        </is>
      </c>
      <c r="M11" s="42" t="inlineStr">
        <is>
          <t>NetAmount</t>
        </is>
      </c>
      <c r="N11" s="42" t="inlineStr">
        <is>
          <t>UnitCost</t>
        </is>
      </c>
      <c r="O11" s="42" t="inlineStr">
        <is>
          <t>COGS</t>
        </is>
      </c>
      <c r="P11" s="42" t="inlineStr">
        <is>
          <t>MissingCostFlag</t>
        </is>
      </c>
    </row>
    <row r="12">
      <c r="B12" s="30" t="n"/>
      <c r="C12" s="30" t="n"/>
      <c r="D12" s="30" t="n"/>
      <c r="E12" s="30" t="n"/>
      <c r="F12" s="30" t="n"/>
      <c r="G12" s="30" t="n"/>
      <c r="H12" s="30" t="n"/>
      <c r="I12" s="30" t="n"/>
      <c r="J12" s="30" t="n"/>
      <c r="K12" s="30" t="n"/>
      <c r="L12" s="30" t="n"/>
      <c r="M12" s="30" t="n"/>
      <c r="N12" s="30" t="n"/>
      <c r="O12" s="30" t="n"/>
      <c r="P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17"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42" t="inlineStr">
        <is>
          <t>RefundKey</t>
        </is>
      </c>
      <c r="C11" s="42" t="inlineStr">
        <is>
          <t>OrderLineKey</t>
        </is>
      </c>
      <c r="D11" s="42" t="inlineStr">
        <is>
          <t>DateKey</t>
        </is>
      </c>
      <c r="E11" s="42" t="inlineStr">
        <is>
          <t>Quantity</t>
        </is>
      </c>
      <c r="F11" s="42" t="inlineStr">
        <is>
          <t>RefundAmount</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17"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42" t="inlineStr">
        <is>
          <t>MovementKey</t>
        </is>
      </c>
      <c r="C11" s="42" t="inlineStr">
        <is>
          <t>DateKey</t>
        </is>
      </c>
      <c r="D11" s="42" t="inlineStr">
        <is>
          <t>ProductKey</t>
        </is>
      </c>
      <c r="E11" s="42" t="inlineStr">
        <is>
          <t>LocationKey</t>
        </is>
      </c>
      <c r="F11" s="42" t="inlineStr">
        <is>
          <t>MovementType</t>
        </is>
      </c>
      <c r="G11" s="42" t="inlineStr">
        <is>
          <t>QuantityChange</t>
        </is>
      </c>
      <c r="H11" s="42" t="inlineStr">
        <is>
          <t>ResultingOnHand</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17"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42" t="inlineStr">
        <is>
          <t>PaymentKey</t>
        </is>
      </c>
      <c r="C11" s="42" t="inlineStr">
        <is>
          <t>OrderID</t>
        </is>
      </c>
      <c r="D11" s="42" t="inlineStr">
        <is>
          <t>DateKey</t>
        </is>
      </c>
      <c r="E11" s="42" t="inlineStr">
        <is>
          <t>PaymentMethod</t>
        </is>
      </c>
      <c r="F11" s="42" t="inlineStr">
        <is>
          <t>Currency</t>
        </is>
      </c>
      <c r="G11" s="42" t="inlineStr">
        <is>
          <t>Amount</t>
        </is>
      </c>
      <c r="H11" s="42" t="inlineStr">
        <is>
          <t>PresentmentAmount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17"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35" t="inlineStr">
        <is>
          <t>ExpenseKey</t>
        </is>
      </c>
      <c r="C11" s="35" t="inlineStr">
        <is>
          <t>DateKey</t>
        </is>
      </c>
      <c r="D11" s="35" t="inlineStr">
        <is>
          <t>ExpenseDate</t>
        </is>
      </c>
      <c r="E11" s="35" t="inlineStr">
        <is>
          <t>ExpenseCategory</t>
        </is>
      </c>
      <c r="F11" s="35" t="inlineStr">
        <is>
          <t>ExpenseSubcategory</t>
        </is>
      </c>
      <c r="G11" s="35" t="inlineStr">
        <is>
          <t>SupplierID</t>
        </is>
      </c>
      <c r="H11" s="35" t="inlineStr">
        <is>
          <t>Amount</t>
        </is>
      </c>
      <c r="I11" s="35" t="inlineStr">
        <is>
          <t>Currency</t>
        </is>
      </c>
      <c r="J11" s="35" t="inlineStr">
        <is>
          <t>PaymentMethod</t>
        </is>
      </c>
      <c r="K11" s="35" t="inlineStr">
        <is>
          <t>RelatedCollection</t>
        </is>
      </c>
      <c r="L11" s="35" t="inlineStr">
        <is>
          <t>RelatedSKU</t>
        </is>
      </c>
      <c r="M11" s="35" t="inlineStr">
        <is>
          <t>CostCenter</t>
        </is>
      </c>
      <c r="N11" s="35" t="inlineStr">
        <is>
          <t>InvoiceNumber</t>
        </is>
      </c>
    </row>
    <row r="12">
      <c r="B12" s="50" t="n"/>
      <c r="C12" s="50" t="n"/>
      <c r="D12" s="50" t="n"/>
      <c r="E12" s="50" t="n"/>
      <c r="F12" s="50" t="n"/>
      <c r="G12" s="50" t="n"/>
      <c r="H12" s="50" t="n"/>
      <c r="I12" s="50" t="n"/>
      <c r="J12" s="50" t="n"/>
      <c r="K12" s="50" t="n"/>
      <c r="L12" s="50" t="n"/>
      <c r="M12" s="50" t="n"/>
      <c r="N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17"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35" t="inlineStr">
        <is>
          <t>CapitalKey</t>
        </is>
      </c>
      <c r="C11" s="35" t="inlineStr">
        <is>
          <t>DateKey</t>
        </is>
      </c>
      <c r="D11" s="35" t="inlineStr">
        <is>
          <t>Date</t>
        </is>
      </c>
      <c r="E11" s="35" t="inlineStr">
        <is>
          <t>Owner</t>
        </is>
      </c>
      <c r="F11" s="35" t="inlineStr">
        <is>
          <t>TransactionType</t>
        </is>
      </c>
      <c r="G11" s="35" t="inlineStr">
        <is>
          <t>Amount</t>
        </is>
      </c>
    </row>
    <row r="12">
      <c r="B12" s="50" t="n"/>
      <c r="C12" s="50" t="n"/>
      <c r="D12" s="50" t="n"/>
      <c r="E12" s="50" t="n"/>
      <c r="F12" s="50" t="n"/>
      <c r="G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17"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35" t="inlineStr">
        <is>
          <t>PONumber</t>
        </is>
      </c>
      <c r="C11" s="35" t="inlineStr">
        <is>
          <t>DateKey</t>
        </is>
      </c>
      <c r="D11" s="35" t="inlineStr">
        <is>
          <t>SupplierID</t>
        </is>
      </c>
      <c r="E11" s="35" t="inlineStr">
        <is>
          <t>OrderDate</t>
        </is>
      </c>
      <c r="F11" s="35" t="inlineStr">
        <is>
          <t>ExpectedDeliveryDate</t>
        </is>
      </c>
      <c r="G11" s="35" t="inlineStr">
        <is>
          <t>Status</t>
        </is>
      </c>
      <c r="H11" s="35" t="inlineStr">
        <is>
          <t>Currency</t>
        </is>
      </c>
    </row>
    <row r="12">
      <c r="B12" s="50" t="n"/>
      <c r="C12" s="50" t="n"/>
      <c r="D12" s="50" t="n"/>
      <c r="E12" s="50" t="n"/>
      <c r="F12" s="50" t="n"/>
      <c r="G12" s="50" t="n"/>
      <c r="H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17"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35" t="inlineStr">
        <is>
          <t>PONumber</t>
        </is>
      </c>
      <c r="C11" s="35" t="inlineStr">
        <is>
          <t>SKU</t>
        </is>
      </c>
      <c r="D11" s="35" t="inlineStr">
        <is>
          <t>QuantityOrdered</t>
        </is>
      </c>
      <c r="E11" s="35" t="inlineStr">
        <is>
          <t>UnitCost</t>
        </is>
      </c>
      <c r="F11" s="35" t="inlineStr">
        <is>
          <t>TotalCost</t>
        </is>
      </c>
    </row>
    <row r="12">
      <c r="B12" s="50" t="n"/>
      <c r="C12" s="50" t="n"/>
      <c r="D12" s="50" t="n"/>
      <c r="E12" s="50" t="n"/>
      <c r="F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17"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35" t="inlineStr">
        <is>
          <t>PONumber</t>
        </is>
      </c>
      <c r="C11" s="35" t="inlineStr">
        <is>
          <t>DateKey</t>
        </is>
      </c>
      <c r="D11" s="35" t="inlineStr">
        <is>
          <t>SKU</t>
        </is>
      </c>
      <c r="E11" s="35" t="inlineStr">
        <is>
          <t>GoodsReceivedDate</t>
        </is>
      </c>
      <c r="F11" s="35" t="inlineStr">
        <is>
          <t>QuantityReceived</t>
        </is>
      </c>
      <c r="G11" s="35" t="inlineStr">
        <is>
          <t>RemainingQuantity</t>
        </is>
      </c>
      <c r="H11" s="35" t="inlineStr">
        <is>
          <t>ActualUnitCost</t>
        </is>
      </c>
      <c r="I11" s="35" t="inlineStr">
        <is>
          <t>VarianceFromPO</t>
        </is>
      </c>
      <c r="J11" s="35" t="inlineStr">
        <is>
          <t>Warehouse</t>
        </is>
      </c>
    </row>
    <row r="12">
      <c r="B12" s="50" t="n"/>
      <c r="C12" s="50" t="n"/>
      <c r="D12" s="50" t="n"/>
      <c r="E12" s="50" t="n"/>
      <c r="F12" s="50" t="n"/>
      <c r="G12" s="50" t="n"/>
      <c r="H12" s="50" t="n"/>
      <c r="I12" s="50" t="n"/>
      <c r="J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17"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42" t="inlineStr">
        <is>
          <t>RefreshID</t>
        </is>
      </c>
      <c r="C11" s="42" t="inlineStr">
        <is>
          <t>Timestamp</t>
        </is>
      </c>
      <c r="D11" s="42" t="inlineStr">
        <is>
          <t>Source</t>
        </is>
      </c>
      <c r="E11" s="42" t="inlineStr">
        <is>
          <t>RowsLoaded</t>
        </is>
      </c>
      <c r="F11" s="42" t="inlineStr">
        <is>
          <t>RowsUpdated</t>
        </is>
      </c>
      <c r="G11" s="42" t="inlineStr">
        <is>
          <t>Errors</t>
        </is>
      </c>
      <c r="H11" s="42" t="inlineStr">
        <is>
          <t>DurationSeconds</t>
        </is>
      </c>
      <c r="I11" s="42" t="inlineStr">
        <is>
          <t>TriggeredBy</t>
        </is>
      </c>
    </row>
    <row r="12">
      <c r="B12" s="30" t="n"/>
      <c r="C12" s="30" t="n"/>
      <c r="D12" s="30" t="n"/>
      <c r="E12" s="30" t="n"/>
      <c r="F12" s="30" t="n"/>
      <c r="G12" s="30" t="n"/>
      <c r="H12" s="30" t="n"/>
      <c r="I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17"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42" t="inlineStr">
        <is>
          <t>CheckID</t>
        </is>
      </c>
      <c r="C11" s="42" t="inlineStr">
        <is>
          <t>Timestamp</t>
        </is>
      </c>
      <c r="D11" s="42" t="inlineStr">
        <is>
          <t>CheckName</t>
        </is>
      </c>
      <c r="E11" s="42" t="inlineStr">
        <is>
          <t>TableName</t>
        </is>
      </c>
      <c r="F11" s="42" t="inlineStr">
        <is>
          <t>Status</t>
        </is>
      </c>
      <c r="G11" s="42" t="inlineStr">
        <is>
          <t>Details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5.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RAW_MetaAds</t>
        </is>
      </c>
    </row>
    <row r="2" ht="16" customHeight="1">
      <c r="A2" s="17" t="inlineStr">
        <is>
          <t>PASSRESS MIS   |   Home ▸ RAW_MetaAds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Meta Ads (Facebook/Instagram) API ingestion. No API calls, no credentials, no scheduled refresh exist for this yet.</t>
        </is>
      </c>
    </row>
    <row r="5" hidden="1" outlineLevel="1" ht="13" customHeight="1">
      <c r="A5" s="4" t="inlineStr">
        <is>
          <t>Input tables</t>
        </is>
      </c>
      <c r="B5" s="5" t="inlineStr">
        <is>
          <t>None yet. Future: Meta Ads (Facebook/Instagram)'s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Meta Ads (Facebook/Instagram)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6.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RAW_GoogleAnalytics</t>
        </is>
      </c>
    </row>
    <row r="2" ht="16" customHeight="1">
      <c r="A2" s="17" t="inlineStr">
        <is>
          <t>PASSRESS MIS   |   Home ▸ RAW_GoogleAnalytics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Analytics API ingestion. No API calls, no credentials, no scheduled refresh exist for this yet.</t>
        </is>
      </c>
    </row>
    <row r="5" hidden="1" outlineLevel="1" ht="13" customHeight="1">
      <c r="A5" s="4" t="inlineStr">
        <is>
          <t>Input tables</t>
        </is>
      </c>
      <c r="B5" s="5" t="inlineStr">
        <is>
          <t>None yet. Future: Google Analytics's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Analytics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7.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RAW_GoogleAds</t>
        </is>
      </c>
    </row>
    <row r="2" ht="16" customHeight="1">
      <c r="A2" s="17" t="inlineStr">
        <is>
          <t>PASSRESS MIS   |   Home ▸ RAW_GoogleAds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Ads API ingestion. No API calls, no credentials, no scheduled refresh exist for this yet.</t>
        </is>
      </c>
    </row>
    <row r="5" hidden="1" outlineLevel="1" ht="13" customHeight="1">
      <c r="A5" s="4" t="inlineStr">
        <is>
          <t>Input tables</t>
        </is>
      </c>
      <c r="B5" s="5" t="inlineStr">
        <is>
          <t>None yet. Future: Google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8.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RAW_TikTokAds</t>
        </is>
      </c>
    </row>
    <row r="2" ht="16" customHeight="1">
      <c r="A2" s="17" t="inlineStr">
        <is>
          <t>PASSRESS MIS   |   Home ▸ RAW_TikTokAds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TikTok Ads API ingestion. No API calls, no credentials, no scheduled refresh exist for this yet.</t>
        </is>
      </c>
    </row>
    <row r="5" hidden="1" outlineLevel="1" ht="13" customHeight="1">
      <c r="A5" s="4" t="inlineStr">
        <is>
          <t>Input tables</t>
        </is>
      </c>
      <c r="B5" s="5" t="inlineStr">
        <is>
          <t>None yet. Future: TikTok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TikTok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9.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RAW_EmailMarketing</t>
        </is>
      </c>
    </row>
    <row r="2" ht="16" customHeight="1">
      <c r="A2" s="17" t="inlineStr">
        <is>
          <t>PASSRESS MIS   |   Home ▸ RAW_EmailMarketing</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Email Marketing (e.g. Klaviyo/Mailchimp) API ingestion. No API calls, no credentials, no scheduled refresh exist for this yet.</t>
        </is>
      </c>
    </row>
    <row r="5" hidden="1" outlineLevel="1" ht="13" customHeight="1">
      <c r="A5" s="4" t="inlineStr">
        <is>
          <t>Input tables</t>
        </is>
      </c>
      <c r="B5" s="5" t="inlineStr">
        <is>
          <t>None yet. Future: Email Marketing (e.g. Klaviyo/Mailchimp)'s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Email Marketing (e.g. Klaviyo/Mailchimp)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0.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RAW_InfluencerCampaigns</t>
        </is>
      </c>
    </row>
    <row r="2" ht="16" customHeight="1">
      <c r="A2" s="17" t="inlineStr">
        <is>
          <t>PASSRESS MIS   |   Home ▸ RAW_InfluencerCampaigns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Influencer Campaigns API ingestion. No API calls, no credentials, no scheduled refresh exist for this yet.</t>
        </is>
      </c>
    </row>
    <row r="5" hidden="1" outlineLevel="1" ht="13" customHeight="1">
      <c r="A5" s="4" t="inlineStr">
        <is>
          <t>Input tables</t>
        </is>
      </c>
      <c r="B5" s="5" t="inlineStr">
        <is>
          <t>None yet. Future: Influencer Campaigns's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Influencer Campaigns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1" t="inlineStr">
        <is>
          <t>DateKey</t>
        </is>
      </c>
      <c r="C11" s="51" t="inlineStr">
        <is>
          <t>CampaignID</t>
        </is>
      </c>
      <c r="D11" s="51" t="inlineStr">
        <is>
          <t>CampaignName</t>
        </is>
      </c>
      <c r="E11" s="51" t="inlineStr">
        <is>
          <t>Spend</t>
        </is>
      </c>
      <c r="F11" s="51" t="inlineStr">
        <is>
          <t>Impressions</t>
        </is>
      </c>
      <c r="G11" s="51" t="inlineStr">
        <is>
          <t>Clicks</t>
        </is>
      </c>
      <c r="H11" s="51" t="inlineStr">
        <is>
          <t>Conversions</t>
        </is>
      </c>
      <c r="I11" s="51" t="inlineStr">
        <is>
          <t>Currency</t>
        </is>
      </c>
    </row>
    <row r="12">
      <c r="B12" s="52" t="n"/>
      <c r="C12" s="52" t="n"/>
      <c r="D12" s="52" t="n"/>
      <c r="E12" s="52" t="n"/>
      <c r="F12" s="52" t="n"/>
      <c r="G12" s="52" t="n"/>
      <c r="H12" s="52" t="n"/>
      <c r="I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1.xml><?xml version="1.0" encoding="utf-8"?>
<worksheet xmlns="http://schemas.openxmlformats.org/spreadsheetml/2006/main">
  <sheetPr>
    <tabColor rgb="008064A2"/>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FACT_MarketingSpend</t>
        </is>
      </c>
    </row>
    <row r="2" ht="16" customHeight="1">
      <c r="A2" s="17" t="inlineStr">
        <is>
          <t>PASSRESS MIS   |   Home ▸ FACT_MarketingSpend</t>
        </is>
      </c>
    </row>
    <row r="3" ht="14" customHeight="1">
      <c r="A3" s="3" t="inlineStr">
        <is>
          <t>Sheet Documentation  (use the  +  outline control at left to expand)</t>
        </is>
      </c>
    </row>
    <row r="4" hidden="1" outlineLevel="1" ht="13" customHeight="1">
      <c r="A4" s="4" t="inlineStr">
        <is>
          <t>Purpose</t>
        </is>
      </c>
      <c r="B4" s="5" t="inlineStr">
        <is>
          <t>RESERVED, NOT CONNECTED — the unified cross-channel spend fact every RAW_&lt;Channel&gt;Ads table above would roll into, so DAX (CAC, ROAS) can query one table instead of six. Channel-specific fields (e.g. TikTok's video view counts) stay on each RAW_ table; only the common shape (spend, date, campaign, conversions) is unified here.</t>
        </is>
      </c>
    </row>
    <row r="5" hidden="1" outlineLevel="1" ht="13" customHeight="1">
      <c r="A5" s="4" t="inlineStr">
        <is>
          <t>Input tables</t>
        </is>
      </c>
      <c r="B5" s="5" t="inlineStr">
        <is>
          <t>Will be built from every RAW_MetaAds/RAW_GoogleAds/RAW_TikTokAds/etc. table above, once connected.</t>
        </is>
      </c>
    </row>
    <row r="6" hidden="1" outlineLevel="1" ht="13" customHeight="1">
      <c r="A6" s="4" t="inlineStr">
        <is>
          <t>Output tables</t>
        </is>
      </c>
      <c r="B6" s="5" t="inlineStr">
        <is>
          <t>dax/MEASURES.md's [CAC] and [ROAS] (currently unbuildable — see KPI Targets' notes on those two rows) will read from here.</t>
        </is>
      </c>
    </row>
    <row r="7" hidden="1" outlineLevel="1" ht="13" customHeight="1">
      <c r="A7" s="4" t="inlineStr">
        <is>
          <t>Relationships</t>
        </is>
      </c>
      <c r="B7" s="5" t="inlineStr">
        <is>
          <t>DateKey -&gt; DIM_Date; ChannelName is a plain attribute (not worth its own dimension at this scale); CampaignID -&gt; a future DIM_Campaign.</t>
        </is>
      </c>
    </row>
    <row r="8" hidden="1" outlineLevel="1" ht="13" customHeight="1">
      <c r="A8" s="4" t="inlineStr">
        <is>
          <t>Future data source</t>
        </is>
      </c>
      <c r="B8" s="5" t="inlineStr">
        <is>
          <t>Union of the RAW_&lt;Channel&gt;Ads tables above, in Power Query — a future phase (6+).</t>
        </is>
      </c>
    </row>
    <row r="9" hidden="1" outlineLevel="1"/>
    <row r="10" ht="6" customHeight="1"/>
    <row r="11" ht="18" customHeight="1">
      <c r="B11" s="51" t="inlineStr">
        <is>
          <t>DateKey</t>
        </is>
      </c>
      <c r="C11" s="51" t="inlineStr">
        <is>
          <t>ChannelName</t>
        </is>
      </c>
      <c r="D11" s="51" t="inlineStr">
        <is>
          <t>CampaignID</t>
        </is>
      </c>
      <c r="E11" s="51" t="inlineStr">
        <is>
          <t>CampaignName</t>
        </is>
      </c>
      <c r="F11" s="51" t="inlineStr">
        <is>
          <t>Spend</t>
        </is>
      </c>
      <c r="G11" s="51" t="inlineStr">
        <is>
          <t>Conversions</t>
        </is>
      </c>
      <c r="H11" s="51" t="inlineStr">
        <is>
          <t>Currency</t>
        </is>
      </c>
    </row>
    <row r="12">
      <c r="B12" s="52" t="n"/>
      <c r="C12" s="52" t="n"/>
      <c r="D12" s="52" t="n"/>
      <c r="E12" s="52" t="n"/>
      <c r="F12" s="52" t="n"/>
      <c r="G12" s="52" t="n"/>
      <c r="H12" s="5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2.xml><?xml version="1.0" encoding="utf-8"?>
<worksheet xmlns="http://schemas.openxmlformats.org/spreadsheetml/2006/main">
  <sheetPr>
    <tabColor rgb="00BFBFB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FUTURE_AI_Insights</t>
        </is>
      </c>
    </row>
    <row r="2" ht="16" customHeight="1">
      <c r="A2" s="17" t="inlineStr">
        <is>
          <t>PASSRESS MIS   |   Home ▸ FUTURE_AI_Insights</t>
        </is>
      </c>
    </row>
    <row r="3" ht="14" customHeight="1">
      <c r="A3" s="3" t="inlineStr">
        <is>
          <t>Sheet Documentation  (use the  +  outline control at left to expand)</t>
        </is>
      </c>
    </row>
    <row r="4" hidden="1" outlineLevel="1" ht="13" customHeight="1">
      <c r="A4" s="4" t="inlineStr">
        <is>
          <t>Purpose</t>
        </is>
      </c>
      <c r="B4" s="5" t="inlineStr">
        <is>
          <t>RESERVED, NOT IMPLEMENTED — placeholder inventory of AI-generated features a future phase could add (Executive Summary, Daily/Weekly/Monthly Summary, Recommendations, Anomaly Detection, Natural Language Q&amp;A). No AI model is called anywhere in this workbook today.</t>
        </is>
      </c>
    </row>
    <row r="5" hidden="1" outlineLevel="1" ht="13" customHeight="1">
      <c r="A5" s="4" t="inlineStr">
        <is>
          <t>Input tables</t>
        </is>
      </c>
      <c r="B5" s="5" t="inlineStr">
        <is>
          <t>None yet. Future: the Data Model (dax/MEASURES.md) + BI_Insights/BI_Alerts (Phase 5's own rule-based versions of Summary/Anomaly-Detection, which an AI layer would eventually supersede or enrich, not duplicate).</t>
        </is>
      </c>
    </row>
    <row r="6" hidden="1" outlineLevel="1" ht="13" customHeight="1">
      <c r="A6" s="4" t="inlineStr">
        <is>
          <t>Output tables</t>
        </is>
      </c>
      <c r="B6" s="5" t="inlineStr">
        <is>
          <t>None yet.</t>
        </is>
      </c>
    </row>
    <row r="7" hidden="1" outlineLevel="1" ht="13" customHeight="1">
      <c r="A7" s="4" t="inlineStr">
        <is>
          <t>Relationships</t>
        </is>
      </c>
      <c r="B7" s="5" t="inlineStr">
        <is>
          <t>None yet.</t>
        </is>
      </c>
    </row>
    <row r="8" hidden="1" outlineLevel="1" ht="13" customHeight="1">
      <c r="A8" s="4" t="inlineStr">
        <is>
          <t>Future data source</t>
        </is>
      </c>
      <c r="B8" s="5" t="inlineStr">
        <is>
          <t>A future phase's AI integration (e.g. an LLM API call summarizing the Data Model's current state) — not scoped or estimated here.</t>
        </is>
      </c>
    </row>
    <row r="9" hidden="1" outlineLevel="1"/>
    <row r="10" ht="6" customHeight="1"/>
    <row r="11" ht="18" customHeight="1">
      <c r="B11" s="42" t="inlineStr">
        <is>
          <t>FeatureName</t>
        </is>
      </c>
      <c r="C11" s="42" t="inlineStr">
        <is>
          <t>Status</t>
        </is>
      </c>
      <c r="D11" s="42" t="inlineStr">
        <is>
          <t>Description</t>
        </is>
      </c>
      <c r="E11" s="42" t="inlineStr">
        <is>
          <t>WouldReplaceOrEnrich</t>
        </is>
      </c>
    </row>
    <row r="12">
      <c r="B12" s="53" t="inlineStr">
        <is>
          <t>Executive Summary</t>
        </is>
      </c>
      <c r="C12" s="53" t="inlineStr">
        <is>
          <t>Not Implemented</t>
        </is>
      </c>
      <c r="D12" s="53" t="inlineStr">
        <is>
          <t>One-paragraph AI-written summary of the period's performance</t>
        </is>
      </c>
      <c r="E12" s="53" t="inlineStr">
        <is>
          <t>Enriches BI_Insights (adds narrative synthesis on top of the rule-based bullet points)</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tabColor rgb="0031859B"/>
    <outlinePr applyStyles="1" summaryBelow="0" summaryRight="1"/>
    <pageSetUpPr/>
  </sheetPr>
  <dimension ref="A1:H2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BI_Insights</t>
        </is>
      </c>
    </row>
    <row r="2" ht="16" customHeight="1">
      <c r="A2" s="17" t="inlineStr">
        <is>
          <t>PASSRESS MIS   |   Home ▸ BI_Insights</t>
        </is>
      </c>
    </row>
    <row r="3" ht="14" customHeight="1">
      <c r="A3" s="3" t="inlineStr">
        <is>
          <t>Sheet Documentation  (use the  +  outline control at left to expand)</t>
        </is>
      </c>
    </row>
    <row r="4" hidden="1" outlineLevel="1" ht="13" customHeight="1">
      <c r="A4" s="4" t="inlineStr">
        <is>
          <t>Purpose</t>
        </is>
      </c>
      <c r="B4" s="5" t="inlineStr">
        <is>
          <t>Auto-generated business insights, one row per insight, built from CUBEVALUE formulas reading dax/MEASURES.md's measures directly (no PivotTable needed). Recalculates on every workbook open/refresh — nothing here is typed by hand.</t>
        </is>
      </c>
    </row>
    <row r="5" hidden="1" outlineLevel="1" ht="13" customHeight="1">
      <c r="A5" s="4" t="inlineStr">
        <is>
          <t>Input tables</t>
        </is>
      </c>
      <c r="B5" s="5" t="inlineStr">
        <is>
          <t>The Data Model (dax/MEASURES.md) via CUBEVALUE/CUBESET/CUBERANKEDMEMBER.</t>
        </is>
      </c>
    </row>
    <row r="6" hidden="1" outlineLevel="1" ht="13" customHeight="1">
      <c r="A6" s="4" t="inlineStr">
        <is>
          <t>Output tables</t>
        </is>
      </c>
      <c r="B6" s="5" t="inlineStr">
        <is>
          <t>02_Partner_Dashboard and 03_CEO_Dashboard both surface a subset of these rows under 'Key Insights'.</t>
        </is>
      </c>
    </row>
    <row r="7" hidden="1" outlineLevel="1" ht="13" customHeight="1">
      <c r="A7" s="4" t="inlineStr">
        <is>
          <t>Relationships</t>
        </is>
      </c>
      <c r="B7" s="5" t="inlineStr">
        <is>
          <t>No Data Model relationship — reads the model via CUBE functions, same mechanism the dashboards themselves use.</t>
        </is>
      </c>
    </row>
    <row r="8" hidden="1" outlineLevel="1" ht="13" customHeight="1">
      <c r="A8" s="4" t="inlineStr">
        <is>
          <t>Future data source</t>
        </is>
      </c>
      <c r="B8" s="5" t="inlineStr">
        <is>
          <t>Already live: resolves for real once the Data Model + measures are wired per dax/README.md. Until then shows blank/0 — expected, not an error.</t>
        </is>
      </c>
    </row>
    <row r="9" hidden="1" outlineLevel="1"/>
    <row r="10" ht="6" customHeight="1"/>
    <row r="11" ht="18" customHeight="1">
      <c r="B11" s="42" t="inlineStr">
        <is>
          <t>InsightID</t>
        </is>
      </c>
      <c r="C11" s="42" t="inlineStr">
        <is>
          <t>Category</t>
        </is>
      </c>
      <c r="D11" s="42" t="inlineStr">
        <is>
          <t>InsightText</t>
        </is>
      </c>
      <c r="E11" s="42" t="inlineStr">
        <is>
          <t>Severity</t>
        </is>
      </c>
    </row>
    <row r="12">
      <c r="B12" s="30" t="n"/>
      <c r="C12" s="30" t="n"/>
      <c r="D12" s="30" t="n"/>
      <c r="E12" s="30" t="n"/>
    </row>
    <row r="14">
      <c r="B14" s="54" t="inlineStr">
        <is>
          <t>INSIGHT FORMULAS  (CUBEVALUE-driven — see dax/PHASE5_MEASURES_ADDENDUM.md for the exact measures each one reads)</t>
        </is>
      </c>
    </row>
    <row r="15">
      <c r="B15" s="24" t="inlineStr">
        <is>
          <t>INS-01</t>
        </is>
      </c>
      <c r="C15" s="24" t="inlineStr">
        <is>
          <t>Sales</t>
        </is>
      </c>
      <c r="D15" s="55">
        <f>"Net Sales "&amp;TEXT(ABS(CUBEVALUE("ThisWorkbookDataModel","[Measures].[Revenue Growth % (YoY)]")),"0.0%")&amp;IF(CUBEVALUE("ThisWorkbookDataModel","[Measures].[Revenue Growth % (YoY)]")&gt;=0," higher"," lower")&amp;" than the same period last year."</f>
        <v/>
      </c>
      <c r="E15" s="24" t="inlineStr">
        <is>
          <t>Info</t>
        </is>
      </c>
    </row>
    <row r="16">
      <c r="B16" s="24" t="inlineStr">
        <is>
          <t>INS-02</t>
        </is>
      </c>
      <c r="C16" s="24" t="inlineStr">
        <is>
          <t>Margin</t>
        </is>
      </c>
      <c r="D16" s="55">
        <f>"Gross Margin is "&amp;TEXT(CUBEVALUE("ThisWorkbookDataModel","[Measures].[Gross Margin %]"),"0.0%")&amp;", vs. a target of "&amp;TEXT(CUBEVALUE("ThisWorkbookDataModel","[Measures].[Margin Target]"),"0.0%")&amp;"."</f>
        <v/>
      </c>
      <c r="E16" s="24" t="inlineStr">
        <is>
          <t>Info</t>
        </is>
      </c>
    </row>
    <row r="17">
      <c r="B17" s="24" t="inlineStr">
        <is>
          <t>INS-03</t>
        </is>
      </c>
      <c r="C17" s="24" t="inlineStr">
        <is>
          <t>Customers</t>
        </is>
      </c>
      <c r="D17" s="55">
        <f>"Customer Retention (month-over-month) is "&amp;TEXT(CUBEVALUE("ThisWorkbookDataModel","[Measures].[Customer Retention Rate (MoM)]"),"0.0%")&amp;"."</f>
        <v/>
      </c>
      <c r="E17" s="24" t="inlineStr">
        <is>
          <t>Info</t>
        </is>
      </c>
    </row>
    <row r="18">
      <c r="B18" s="24" t="inlineStr">
        <is>
          <t>INS-04</t>
        </is>
      </c>
      <c r="C18" s="24" t="inlineStr">
        <is>
          <t>Inventory</t>
        </is>
      </c>
      <c r="D18" s="55">
        <f>IF(CUBEVALUE("ThisWorkbookDataModel","[Measures].[Inventory Turnover]")&lt;CUBEVALUE("ThisWorkbookDataModel","[Measures].[Inventory Turnover Target]"),"Inventory turnover is below target — stock may be moving slower than planned.","Inventory turnover is at or above target.")</f>
        <v/>
      </c>
      <c r="E18" s="24" t="inlineStr">
        <is>
          <t>Info</t>
        </is>
      </c>
    </row>
    <row r="19">
      <c r="B19" s="24" t="inlineStr">
        <is>
          <t>INS-05</t>
        </is>
      </c>
      <c r="C19" s="24" t="inlineStr">
        <is>
          <t>Cash</t>
        </is>
      </c>
      <c r="D19" s="55">
        <f>IF(CUBEVALUE("ThisWorkbookDataModel","[Measures].[Cash Position (Direct, Cumulative)]")&gt;0,"Cash position is healthy (positive).","Cash position is negative — review Reconciliation: Cash Variance before acting on this.")</f>
        <v/>
      </c>
      <c r="E19" s="24" t="inlineStr">
        <is>
          <t>Info</t>
        </is>
      </c>
    </row>
    <row r="20">
      <c r="B20" s="24" t="inlineStr">
        <is>
          <t>INS-06</t>
        </is>
      </c>
      <c r="C20" s="24" t="inlineStr">
        <is>
          <t>Products</t>
        </is>
      </c>
      <c r="D20" s="55">
        <f>"Best seller: "&amp;CUBERANKEDMEMBER("ThisWorkbookDataModel",$H$20,1)&amp;"."</f>
        <v/>
      </c>
      <c r="E20" s="24" t="inlineStr">
        <is>
          <t>Info</t>
        </is>
      </c>
      <c r="H20" s="23">
        <f>CUBESET("ThisWorkbookDataModel","{[DIM_Product].[Title].Children}","BestSeller","BDESC","[Measures].[Net Sales]")</f>
        <v/>
      </c>
    </row>
    <row r="21">
      <c r="B21" s="24" t="inlineStr">
        <is>
          <t>INS-07</t>
        </is>
      </c>
      <c r="C21" s="24" t="inlineStr">
        <is>
          <t>Products</t>
        </is>
      </c>
      <c r="D21" s="55">
        <f>"Weakest seller (with any sales): "&amp;CUBERANKEDMEMBER("ThisWorkbookDataModel",$H$21,1)&amp;" — see 05_Products for the full ranked list rather than relying on one row here."</f>
        <v/>
      </c>
      <c r="E21" s="24" t="inlineStr">
        <is>
          <t>Info</t>
        </is>
      </c>
      <c r="H21" s="23">
        <f>CUBESET("ThisWorkbookDataModel","{[DIM_Product].[Title].Children}","WeakestSeller","BASC","[Measures].[Net Sales]")</f>
        <v/>
      </c>
    </row>
    <row r="22">
      <c r="B22" s="24" t="inlineStr">
        <is>
          <t>INS-08</t>
        </is>
      </c>
      <c r="C22" s="24" t="inlineStr">
        <is>
          <t>Orders</t>
        </is>
      </c>
      <c r="D22" s="55">
        <f>"Average Order Value is "&amp;TEXT(CUBEVALUE("ThisWorkbookDataModel","[Measures].[Average Order Value]"),"#,##0")&amp;" EGP, vs. a target of "&amp;TEXT(CUBEVALUE("ThisWorkbookDataModel","[Measures].[AOV Target]"),"#,##0")&amp;" EGP."</f>
        <v/>
      </c>
      <c r="E22" s="24" t="inlineStr">
        <is>
          <t>Info</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tabColor rgb="0031859B"/>
    <outlinePr applyStyles="1" summaryBelow="0" summaryRight="1"/>
    <pageSetUpPr/>
  </sheetPr>
  <dimension ref="A1:F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BI_Alerts</t>
        </is>
      </c>
    </row>
    <row r="2" ht="16" customHeight="1">
      <c r="A2" s="17" t="inlineStr">
        <is>
          <t>PASSRESS MIS   |   Home ▸ BI_Alerts</t>
        </is>
      </c>
    </row>
    <row r="3" ht="14" customHeight="1">
      <c r="A3" s="3" t="inlineStr">
        <is>
          <t>Sheet Documentation  (use the  +  outline control at left to expand)</t>
        </is>
      </c>
    </row>
    <row r="4" hidden="1" outlineLevel="1" ht="13" customHeight="1">
      <c r="A4" s="4" t="inlineStr">
        <is>
          <t>Purpose</t>
        </is>
      </c>
      <c r="B4" s="5" t="inlineStr">
        <is>
          <t>Auto-generated operational alerts, one row per alert type, built from CUBEVALUE formulas plus a few direct structural checks already computed elsewhere (Product Cost Master's Overlap Warning, Manual Expenses' Possible Duplicate) rather than re-deriving them — reuses, doesn't duplicate, Phase 2-4's own data-quality logic.</t>
        </is>
      </c>
    </row>
    <row r="5" hidden="1" outlineLevel="1" ht="13" customHeight="1">
      <c r="A5" s="4" t="inlineStr">
        <is>
          <t>Input tables</t>
        </is>
      </c>
      <c r="B5" s="5" t="inlineStr">
        <is>
          <t>The Data Model (dax/MEASURES.md) via CUBEVALUE; LOG_DataQuality; tbl_ProductCostMaster/tbl_ManualExpenses' existing flag columns.</t>
        </is>
      </c>
    </row>
    <row r="6" hidden="1" outlineLevel="1" ht="13" customHeight="1">
      <c r="A6" s="4" t="inlineStr">
        <is>
          <t>Output tables</t>
        </is>
      </c>
      <c r="B6" s="5" t="inlineStr">
        <is>
          <t>14_Data_Quality and 03_CEO_Dashboard both surface these under 'Alerts'.</t>
        </is>
      </c>
    </row>
    <row r="7" hidden="1" outlineLevel="1" ht="13" customHeight="1">
      <c r="A7" s="4" t="inlineStr">
        <is>
          <t>Relationships</t>
        </is>
      </c>
      <c r="B7" s="5" t="inlineStr">
        <is>
          <t>No Data Model relationship — reads via CUBE functions and direct cell/table references.</t>
        </is>
      </c>
    </row>
    <row r="8" hidden="1" outlineLevel="1" ht="13" customHeight="1">
      <c r="A8" s="4" t="inlineStr">
        <is>
          <t>Future data source</t>
        </is>
      </c>
      <c r="B8" s="5" t="inlineStr">
        <is>
          <t>Already live: resolves for real once the Data Model + measures are wired per dax/README.md.</t>
        </is>
      </c>
    </row>
    <row r="9" hidden="1" outlineLevel="1"/>
    <row r="10" ht="6" customHeight="1"/>
    <row r="11" ht="18" customHeight="1">
      <c r="B11" s="42" t="inlineStr">
        <is>
          <t>AlertID</t>
        </is>
      </c>
      <c r="C11" s="42" t="inlineStr">
        <is>
          <t>AlertName</t>
        </is>
      </c>
      <c r="D11" s="42" t="inlineStr">
        <is>
          <t>Condition</t>
        </is>
      </c>
      <c r="E11" s="42" t="inlineStr">
        <is>
          <t>Status</t>
        </is>
      </c>
      <c r="F11" s="42" t="inlineStr">
        <is>
          <t>Severity</t>
        </is>
      </c>
    </row>
    <row r="12">
      <c r="B12" s="30" t="n"/>
      <c r="C12" s="30" t="n"/>
      <c r="D12" s="30" t="n"/>
      <c r="E12" s="30" t="n"/>
      <c r="F12" s="30" t="n"/>
    </row>
    <row r="14">
      <c r="B14" s="54" t="inlineStr">
        <is>
          <t>ALERT FORMULAS</t>
        </is>
      </c>
    </row>
    <row r="15">
      <c r="B15" s="24" t="inlineStr">
        <is>
          <t>ALT-01</t>
        </is>
      </c>
      <c r="C15" s="24" t="inlineStr">
        <is>
          <t>Low Inventory</t>
        </is>
      </c>
      <c r="D15" s="20" t="inlineStr">
        <is>
          <t>Inventory Value below target</t>
        </is>
      </c>
      <c r="E15" s="24">
        <f>IF(CUBEVALUE("ThisWorkbookDataModel","[Measures].[Inventory Value]")&lt;CUBEVALUE("ThisWorkbookDataModel","[Measures].[Inventory Target]")*0.5,"TRIGGERED","OK")</f>
        <v/>
      </c>
      <c r="F15" s="24" t="inlineStr">
        <is>
          <t>Warning</t>
        </is>
      </c>
    </row>
    <row r="16">
      <c r="B16" s="24" t="inlineStr">
        <is>
          <t>ALT-02</t>
        </is>
      </c>
      <c r="C16" s="24" t="inlineStr">
        <is>
          <t>Negative Margin</t>
        </is>
      </c>
      <c r="D16" s="20" t="inlineStr">
        <is>
          <t>Gross Margin % below 0</t>
        </is>
      </c>
      <c r="E16" s="24">
        <f>IF(CUBEVALUE("ThisWorkbookDataModel","[Measures].[Gross Margin %]")&lt;0,"TRIGGERED","OK")</f>
        <v/>
      </c>
      <c r="F16" s="24" t="inlineStr">
        <is>
          <t>Critical</t>
        </is>
      </c>
    </row>
    <row r="17">
      <c r="B17" s="24" t="inlineStr">
        <is>
          <t>ALT-03</t>
        </is>
      </c>
      <c r="C17" s="24" t="inlineStr">
        <is>
          <t>Products without Cost</t>
        </is>
      </c>
      <c r="D17" s="20" t="inlineStr">
        <is>
          <t>Order lines with no matching Product Cost Master row</t>
        </is>
      </c>
      <c r="E17" s="24">
        <f>IF(CUBEVALUE("ThisWorkbookDataModel","[Measures].[Lines Missing Cost]")&gt;0,"TRIGGERED ("&amp;CUBEVALUE("ThisWorkbookDataModel","[Measures].[Lines Missing Cost]")&amp;" lines)","OK")</f>
        <v/>
      </c>
      <c r="F17" s="24" t="inlineStr">
        <is>
          <t>Warning</t>
        </is>
      </c>
    </row>
    <row r="18">
      <c r="B18" s="24" t="inlineStr">
        <is>
          <t>ALT-04</t>
        </is>
      </c>
      <c r="C18" s="24" t="inlineStr">
        <is>
          <t>Products without SKU</t>
        </is>
      </c>
      <c r="D18" s="20" t="inlineStr">
        <is>
          <t>RAW_Variants rows with a blank SKU</t>
        </is>
      </c>
      <c r="E18" s="24">
        <f>IF(COUNTIFS(RAW_Variants[SKU],"")&gt;0,"TRIGGERED","OK")</f>
        <v/>
      </c>
      <c r="F18" s="24" t="inlineStr">
        <is>
          <t>Warning</t>
        </is>
      </c>
    </row>
    <row r="19">
      <c r="B19" s="24" t="inlineStr">
        <is>
          <t>ALT-05</t>
        </is>
      </c>
      <c r="C19" s="24" t="inlineStr">
        <is>
          <t>Expenses without Category</t>
        </is>
      </c>
      <c r="D19" s="20" t="inlineStr">
        <is>
          <t>Manual Expenses rows with a blank Expense Category</t>
        </is>
      </c>
      <c r="E19" s="24">
        <f>IF(COUNTIFS(tbl_ManualExpenses[Expense Category],"")&gt;0,"TRIGGERED","OK")</f>
        <v/>
      </c>
      <c r="F19" s="24" t="inlineStr">
        <is>
          <t>Warning</t>
        </is>
      </c>
    </row>
    <row r="20">
      <c r="B20" s="24" t="inlineStr">
        <is>
          <t>ALT-06</t>
        </is>
      </c>
      <c r="C20" s="24" t="inlineStr">
        <is>
          <t>Duplicate Expenses</t>
        </is>
      </c>
      <c r="D20" s="20" t="inlineStr">
        <is>
          <t>Manual Expenses flagged Possible Duplicate</t>
        </is>
      </c>
      <c r="E20" s="24">
        <f>IF(COUNTIF(tbl_ManualExpenses[Possible Duplicate],"Possible Duplicate")&gt;0,"TRIGGERED ("&amp;COUNTIF(tbl_ManualExpenses[Possible Duplicate],"Possible Duplicate")&amp;")","OK")</f>
        <v/>
      </c>
      <c r="F20" s="24" t="inlineStr">
        <is>
          <t>Info</t>
        </is>
      </c>
    </row>
    <row r="21">
      <c r="B21" s="24" t="inlineStr">
        <is>
          <t>ALT-07</t>
        </is>
      </c>
      <c r="C21" s="24" t="inlineStr">
        <is>
          <t>Inactive Products</t>
        </is>
      </c>
      <c r="D21" s="20" t="inlineStr">
        <is>
          <t>Product Cost Master rows marked Inactive with no Active replacement</t>
        </is>
      </c>
      <c r="E21" s="24">
        <f>IF(CUBEVALUE("ThisWorkbookDataModel","[Measures].[Lines Missing Cost]")&gt;0,"REVIEW — see Products without Cost above (same root cause)","OK")</f>
        <v/>
      </c>
      <c r="F21" s="24" t="inlineStr">
        <is>
          <t>Info</t>
        </is>
      </c>
    </row>
    <row r="22">
      <c r="B22" s="24" t="inlineStr">
        <is>
          <t>ALT-08</t>
        </is>
      </c>
      <c r="C22" s="24" t="inlineStr">
        <is>
          <t>Slow Moving Inventory</t>
        </is>
      </c>
      <c r="D22" s="20" t="inlineStr">
        <is>
          <t>SKUs below the Slow Moving threshold (dax/MEASURES.md)</t>
        </is>
      </c>
      <c r="E22" s="24">
        <f>IF(CUBEVALUE("ThisWorkbookDataModel","[Measures].[Slow Moving SKU Count]")&gt;0,"TRIGGERED ("&amp;CUBEVALUE("ThisWorkbookDataModel","[Measures].[Slow Moving SKU Count]")&amp;" SKUs)","OK")</f>
        <v/>
      </c>
      <c r="F22" s="24" t="inlineStr">
        <is>
          <t>Info</t>
        </is>
      </c>
    </row>
    <row r="23">
      <c r="B23" s="24" t="inlineStr">
        <is>
          <t>ALT-09</t>
        </is>
      </c>
      <c r="C23" s="24" t="inlineStr">
        <is>
          <t>Dead Stock</t>
        </is>
      </c>
      <c r="D23" s="20" t="inlineStr">
        <is>
          <t>SKUs with zero sales in 180 days while still holding stock</t>
        </is>
      </c>
      <c r="E23" s="24">
        <f>IF(CUBEVALUE("ThisWorkbookDataModel","[Measures].[Dead Stock SKU Count]")&gt;0,"TRIGGERED ("&amp;CUBEVALUE("ThisWorkbookDataModel","[Measures].[Dead Stock SKU Count]")&amp;" SKUs)","OK")</f>
        <v/>
      </c>
      <c r="F23" s="24" t="inlineStr">
        <is>
          <t>Warning</t>
        </is>
      </c>
    </row>
    <row r="24">
      <c r="B24" s="24" t="inlineStr">
        <is>
          <t>ALT-10</t>
        </is>
      </c>
      <c r="C24" s="24" t="inlineStr">
        <is>
          <t>Missing Shopify Sync</t>
        </is>
      </c>
      <c r="D24" s="20" t="inlineStr">
        <is>
          <t>No successful refresh recorded in the last 2 days</t>
        </is>
      </c>
      <c r="E24" s="24">
        <f>IF(COUNTIFS(LOG_RefreshHistory[Timestamp],"&gt;="&amp;TODAY()-2)=0,"TRIGGERED","OK")</f>
        <v/>
      </c>
      <c r="F24" s="24" t="inlineStr">
        <is>
          <t>Critical</t>
        </is>
      </c>
    </row>
    <row r="25">
      <c r="B25" s="24" t="inlineStr">
        <is>
          <t>ALT-11</t>
        </is>
      </c>
      <c r="C25" s="24" t="inlineStr">
        <is>
          <t>Refresh Errors</t>
        </is>
      </c>
      <c r="D25" s="20" t="inlineStr">
        <is>
          <t>LOG_DataQuality rows with a WARNING status this refresh</t>
        </is>
      </c>
      <c r="E25" s="24">
        <f>IF(COUNTIF(LOG_DataQuality[Status],"WARNING*")&gt;0,"TRIGGERED","OK")</f>
        <v/>
      </c>
      <c r="F25" s="24" t="inlineStr">
        <is>
          <t>Warning</t>
        </is>
      </c>
    </row>
    <row r="26">
      <c r="B26" s="24" t="inlineStr">
        <is>
          <t>ALT-12</t>
        </is>
      </c>
      <c r="C26" s="24" t="inlineStr">
        <is>
          <t>Over Budget Expenses</t>
        </is>
      </c>
      <c r="D26" s="20" t="inlineStr">
        <is>
          <t>Operating Expenses exceed the Budget for the current period</t>
        </is>
      </c>
      <c r="E26" s="24">
        <f>IF(CUBEVALUE("ThisWorkbookDataModel","[Measures].[Operating Expenses]")&gt;CUBEVALUE("ThisWorkbookDataModel","[Measures].[Expense Budget (Period)]"),"TRIGGERED","OK")</f>
        <v/>
      </c>
      <c r="F26" s="24" t="inlineStr">
        <is>
          <t>Warning</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5.xml><?xml version="1.0" encoding="utf-8"?>
<worksheet xmlns="http://schemas.openxmlformats.org/spreadsheetml/2006/main">
  <sheetPr>
    <tabColor rgb="0031859B"/>
    <outlinePr applyStyles="1" summaryBelow="0" summaryRight="1"/>
    <pageSetUpPr/>
  </sheetPr>
  <dimension ref="A1:N41"/>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BI_Forecast</t>
        </is>
      </c>
    </row>
    <row r="2" ht="16" customHeight="1">
      <c r="A2" s="17" t="inlineStr">
        <is>
          <t>PASSRESS MIS   |   Home ▸ BI_Forecast</t>
        </is>
      </c>
    </row>
    <row r="3" ht="14" customHeight="1">
      <c r="A3" s="3" t="inlineStr">
        <is>
          <t>Sheet Documentation  (use the  +  outline control at left to expand)</t>
        </is>
      </c>
    </row>
    <row r="4" hidden="1" outlineLevel="1" ht="13" customHeight="1">
      <c r="A4" s="4" t="inlineStr">
        <is>
          <t>Purpose</t>
        </is>
      </c>
      <c r="B4" s="5" t="inlineStr">
        <is>
          <t>Rolling-trend forecast for Sales, Expenses, Profit, Inventory, and Cash — Excel's native FORECAST.LINEAR projecting one period ahead from each metric's trailing 12-month actuals (pulled via CUBEVALUE). Deliberately simple (linear trend, not seasonality-aware) so it's easy to audit and easy to replace.</t>
        </is>
      </c>
    </row>
    <row r="5" hidden="1" outlineLevel="1" ht="13" customHeight="1">
      <c r="A5" s="4" t="inlineStr">
        <is>
          <t>Input tables</t>
        </is>
      </c>
      <c r="B5" s="5" t="inlineStr">
        <is>
          <t>The Data Model (dax/MEASURES.md) via CUBEVALUE, trailing 12 months.</t>
        </is>
      </c>
    </row>
    <row r="6" hidden="1" outlineLevel="1" ht="13" customHeight="1">
      <c r="A6" s="4" t="inlineStr">
        <is>
          <t>Output tables</t>
        </is>
      </c>
      <c r="B6" s="5" t="inlineStr">
        <is>
          <t>03_CEO_Dashboard's Forecast section.</t>
        </is>
      </c>
    </row>
    <row r="7" hidden="1" outlineLevel="1" ht="13" customHeight="1">
      <c r="A7" s="4" t="inlineStr">
        <is>
          <t>Relationships</t>
        </is>
      </c>
      <c r="B7" s="5" t="inlineStr">
        <is>
          <t>No Data Model relationship.</t>
        </is>
      </c>
    </row>
    <row r="8" hidden="1" outlineLevel="1" ht="13" customHeight="1">
      <c r="A8" s="4" t="inlineStr">
        <is>
          <t>Future data source</t>
        </is>
      </c>
      <c r="B8" s="5" t="inlineStr">
        <is>
          <t>AI forecasting — replace this table's Method/Formula columns with a call to an external forecasting service once one exists; every other column (Metric, ForecastPeriod, ForecastValue) stays the same shape so downstream references don't break.</t>
        </is>
      </c>
    </row>
    <row r="9" hidden="1" outlineLevel="1"/>
    <row r="10" ht="6" customHeight="1"/>
    <row r="11" ht="18" customHeight="1">
      <c r="B11" s="42" t="inlineStr">
        <is>
          <t>Metric</t>
        </is>
      </c>
      <c r="C11" s="42" t="inlineStr">
        <is>
          <t>Method</t>
        </is>
      </c>
      <c r="D11" s="42" t="inlineStr">
        <is>
          <t>ForecastPeriod</t>
        </is>
      </c>
      <c r="E11" s="42" t="inlineStr">
        <is>
          <t>ForecastValue</t>
        </is>
      </c>
    </row>
    <row r="12">
      <c r="B12" s="30" t="n"/>
      <c r="C12" s="30" t="n"/>
      <c r="D12" s="30" t="n"/>
      <c r="E12" s="30" t="n"/>
    </row>
    <row r="14">
      <c r="B14" s="54" t="inlineStr">
        <is>
          <t>TRAILING 12-MONTH ACTUALS (feeds the forecasts below)</t>
        </is>
      </c>
    </row>
    <row r="15">
      <c r="B15" s="13" t="inlineStr">
        <is>
          <t>Sales — trailing 12 months</t>
        </is>
      </c>
    </row>
    <row r="16">
      <c r="C16" s="21">
        <f>TEXT(EDATE(TODAY(),-11),"mmm-yy")</f>
        <v/>
      </c>
      <c r="D16" s="21">
        <f>TEXT(EDATE(TODAY(),-10),"mmm-yy")</f>
        <v/>
      </c>
      <c r="E16" s="21">
        <f>TEXT(EDATE(TODAY(),-9),"mmm-yy")</f>
        <v/>
      </c>
      <c r="F16" s="21">
        <f>TEXT(EDATE(TODAY(),-8),"mmm-yy")</f>
        <v/>
      </c>
      <c r="G16" s="21">
        <f>TEXT(EDATE(TODAY(),-7),"mmm-yy")</f>
        <v/>
      </c>
      <c r="H16" s="21">
        <f>TEXT(EDATE(TODAY(),-6),"mmm-yy")</f>
        <v/>
      </c>
      <c r="I16" s="21">
        <f>TEXT(EDATE(TODAY(),-5),"mmm-yy")</f>
        <v/>
      </c>
      <c r="J16" s="21">
        <f>TEXT(EDATE(TODAY(),-4),"mmm-yy")</f>
        <v/>
      </c>
      <c r="K16" s="21">
        <f>TEXT(EDATE(TODAY(),-3),"mmm-yy")</f>
        <v/>
      </c>
      <c r="L16" s="21">
        <f>TEXT(EDATE(TODAY(),-2),"mmm-yy")</f>
        <v/>
      </c>
      <c r="M16" s="21">
        <f>TEXT(EDATE(TODAY(),-1),"mmm-yy")</f>
        <v/>
      </c>
      <c r="N16" s="21">
        <f>TEXT(EDATE(TODAY(),0),"mmm-yy")</f>
        <v/>
      </c>
    </row>
    <row r="17">
      <c r="C17" s="22">
        <f>CUBEVALUE("ThisWorkbookDataModel","[Measures].[Net Sales]","[DIM_Date].[Year].&amp;["&amp;YEAR(EDATE(TODAY(),-11))&amp;"]","[DIM_Date].[Month].&amp;["&amp;MONTH(EDATE(TODAY(),-11))&amp;"]")</f>
        <v/>
      </c>
      <c r="D17" s="22">
        <f>CUBEVALUE("ThisWorkbookDataModel","[Measures].[Net Sales]","[DIM_Date].[Year].&amp;["&amp;YEAR(EDATE(TODAY(),-10))&amp;"]","[DIM_Date].[Month].&amp;["&amp;MONTH(EDATE(TODAY(),-10))&amp;"]")</f>
        <v/>
      </c>
      <c r="E17" s="22">
        <f>CUBEVALUE("ThisWorkbookDataModel","[Measures].[Net Sales]","[DIM_Date].[Year].&amp;["&amp;YEAR(EDATE(TODAY(),-9))&amp;"]","[DIM_Date].[Month].&amp;["&amp;MONTH(EDATE(TODAY(),-9))&amp;"]")</f>
        <v/>
      </c>
      <c r="F17" s="22">
        <f>CUBEVALUE("ThisWorkbookDataModel","[Measures].[Net Sales]","[DIM_Date].[Year].&amp;["&amp;YEAR(EDATE(TODAY(),-8))&amp;"]","[DIM_Date].[Month].&amp;["&amp;MONTH(EDATE(TODAY(),-8))&amp;"]")</f>
        <v/>
      </c>
      <c r="G17" s="22">
        <f>CUBEVALUE("ThisWorkbookDataModel","[Measures].[Net Sales]","[DIM_Date].[Year].&amp;["&amp;YEAR(EDATE(TODAY(),-7))&amp;"]","[DIM_Date].[Month].&amp;["&amp;MONTH(EDATE(TODAY(),-7))&amp;"]")</f>
        <v/>
      </c>
      <c r="H17" s="22">
        <f>CUBEVALUE("ThisWorkbookDataModel","[Measures].[Net Sales]","[DIM_Date].[Year].&amp;["&amp;YEAR(EDATE(TODAY(),-6))&amp;"]","[DIM_Date].[Month].&amp;["&amp;MONTH(EDATE(TODAY(),-6))&amp;"]")</f>
        <v/>
      </c>
      <c r="I17" s="22">
        <f>CUBEVALUE("ThisWorkbookDataModel","[Measures].[Net Sales]","[DIM_Date].[Year].&amp;["&amp;YEAR(EDATE(TODAY(),-5))&amp;"]","[DIM_Date].[Month].&amp;["&amp;MONTH(EDATE(TODAY(),-5))&amp;"]")</f>
        <v/>
      </c>
      <c r="J17" s="22">
        <f>CUBEVALUE("ThisWorkbookDataModel","[Measures].[Net Sales]","[DIM_Date].[Year].&amp;["&amp;YEAR(EDATE(TODAY(),-4))&amp;"]","[DIM_Date].[Month].&amp;["&amp;MONTH(EDATE(TODAY(),-4))&amp;"]")</f>
        <v/>
      </c>
      <c r="K17" s="22">
        <f>CUBEVALUE("ThisWorkbookDataModel","[Measures].[Net Sales]","[DIM_Date].[Year].&amp;["&amp;YEAR(EDATE(TODAY(),-3))&amp;"]","[DIM_Date].[Month].&amp;["&amp;MONTH(EDATE(TODAY(),-3))&amp;"]")</f>
        <v/>
      </c>
      <c r="L17" s="22">
        <f>CUBEVALUE("ThisWorkbookDataModel","[Measures].[Net Sales]","[DIM_Date].[Year].&amp;["&amp;YEAR(EDATE(TODAY(),-2))&amp;"]","[DIM_Date].[Month].&amp;["&amp;MONTH(EDATE(TODAY(),-2))&amp;"]")</f>
        <v/>
      </c>
      <c r="M17" s="22">
        <f>CUBEVALUE("ThisWorkbookDataModel","[Measures].[Net Sales]","[DIM_Date].[Year].&amp;["&amp;YEAR(EDATE(TODAY(),-1))&amp;"]","[DIM_Date].[Month].&amp;["&amp;MONTH(EDATE(TODAY(),-1))&amp;"]")</f>
        <v/>
      </c>
      <c r="N17" s="22">
        <f>CUBEVALUE("ThisWorkbookDataModel","[Measures].[Net Sales]","[DIM_Date].[Year].&amp;["&amp;YEAR(EDATE(TODAY(),0))&amp;"]","[DIM_Date].[Month].&amp;["&amp;MONTH(EDATE(TODAY(),0))&amp;"]")</f>
        <v/>
      </c>
    </row>
    <row r="19">
      <c r="B19" s="13" t="inlineStr">
        <is>
          <t>Expenses — trailing 12 months</t>
        </is>
      </c>
    </row>
    <row r="20">
      <c r="C20" s="21">
        <f>TEXT(EDATE(TODAY(),-11),"mmm-yy")</f>
        <v/>
      </c>
      <c r="D20" s="21">
        <f>TEXT(EDATE(TODAY(),-10),"mmm-yy")</f>
        <v/>
      </c>
      <c r="E20" s="21">
        <f>TEXT(EDATE(TODAY(),-9),"mmm-yy")</f>
        <v/>
      </c>
      <c r="F20" s="21">
        <f>TEXT(EDATE(TODAY(),-8),"mmm-yy")</f>
        <v/>
      </c>
      <c r="G20" s="21">
        <f>TEXT(EDATE(TODAY(),-7),"mmm-yy")</f>
        <v/>
      </c>
      <c r="H20" s="21">
        <f>TEXT(EDATE(TODAY(),-6),"mmm-yy")</f>
        <v/>
      </c>
      <c r="I20" s="21">
        <f>TEXT(EDATE(TODAY(),-5),"mmm-yy")</f>
        <v/>
      </c>
      <c r="J20" s="21">
        <f>TEXT(EDATE(TODAY(),-4),"mmm-yy")</f>
        <v/>
      </c>
      <c r="K20" s="21">
        <f>TEXT(EDATE(TODAY(),-3),"mmm-yy")</f>
        <v/>
      </c>
      <c r="L20" s="21">
        <f>TEXT(EDATE(TODAY(),-2),"mmm-yy")</f>
        <v/>
      </c>
      <c r="M20" s="21">
        <f>TEXT(EDATE(TODAY(),-1),"mmm-yy")</f>
        <v/>
      </c>
      <c r="N20" s="21">
        <f>TEXT(EDATE(TODAY(),0),"mmm-yy")</f>
        <v/>
      </c>
    </row>
    <row r="21">
      <c r="C21" s="22">
        <f>CUBEVALUE("ThisWorkbookDataModel","[Measures].[Operating Expenses]","[DIM_Date].[Year].&amp;["&amp;YEAR(EDATE(TODAY(),-11))&amp;"]","[DIM_Date].[Month].&amp;["&amp;MONTH(EDATE(TODAY(),-11))&amp;"]")</f>
        <v/>
      </c>
      <c r="D21" s="22">
        <f>CUBEVALUE("ThisWorkbookDataModel","[Measures].[Operating Expenses]","[DIM_Date].[Year].&amp;["&amp;YEAR(EDATE(TODAY(),-10))&amp;"]","[DIM_Date].[Month].&amp;["&amp;MONTH(EDATE(TODAY(),-10))&amp;"]")</f>
        <v/>
      </c>
      <c r="E21" s="22">
        <f>CUBEVALUE("ThisWorkbookDataModel","[Measures].[Operating Expenses]","[DIM_Date].[Year].&amp;["&amp;YEAR(EDATE(TODAY(),-9))&amp;"]","[DIM_Date].[Month].&amp;["&amp;MONTH(EDATE(TODAY(),-9))&amp;"]")</f>
        <v/>
      </c>
      <c r="F21" s="22">
        <f>CUBEVALUE("ThisWorkbookDataModel","[Measures].[Operating Expenses]","[DIM_Date].[Year].&amp;["&amp;YEAR(EDATE(TODAY(),-8))&amp;"]","[DIM_Date].[Month].&amp;["&amp;MONTH(EDATE(TODAY(),-8))&amp;"]")</f>
        <v/>
      </c>
      <c r="G21" s="22">
        <f>CUBEVALUE("ThisWorkbookDataModel","[Measures].[Operating Expenses]","[DIM_Date].[Year].&amp;["&amp;YEAR(EDATE(TODAY(),-7))&amp;"]","[DIM_Date].[Month].&amp;["&amp;MONTH(EDATE(TODAY(),-7))&amp;"]")</f>
        <v/>
      </c>
      <c r="H21" s="22">
        <f>CUBEVALUE("ThisWorkbookDataModel","[Measures].[Operating Expenses]","[DIM_Date].[Year].&amp;["&amp;YEAR(EDATE(TODAY(),-6))&amp;"]","[DIM_Date].[Month].&amp;["&amp;MONTH(EDATE(TODAY(),-6))&amp;"]")</f>
        <v/>
      </c>
      <c r="I21" s="22">
        <f>CUBEVALUE("ThisWorkbookDataModel","[Measures].[Operating Expenses]","[DIM_Date].[Year].&amp;["&amp;YEAR(EDATE(TODAY(),-5))&amp;"]","[DIM_Date].[Month].&amp;["&amp;MONTH(EDATE(TODAY(),-5))&amp;"]")</f>
        <v/>
      </c>
      <c r="J21" s="22">
        <f>CUBEVALUE("ThisWorkbookDataModel","[Measures].[Operating Expenses]","[DIM_Date].[Year].&amp;["&amp;YEAR(EDATE(TODAY(),-4))&amp;"]","[DIM_Date].[Month].&amp;["&amp;MONTH(EDATE(TODAY(),-4))&amp;"]")</f>
        <v/>
      </c>
      <c r="K21" s="22">
        <f>CUBEVALUE("ThisWorkbookDataModel","[Measures].[Operating Expenses]","[DIM_Date].[Year].&amp;["&amp;YEAR(EDATE(TODAY(),-3))&amp;"]","[DIM_Date].[Month].&amp;["&amp;MONTH(EDATE(TODAY(),-3))&amp;"]")</f>
        <v/>
      </c>
      <c r="L21" s="22">
        <f>CUBEVALUE("ThisWorkbookDataModel","[Measures].[Operating Expenses]","[DIM_Date].[Year].&amp;["&amp;YEAR(EDATE(TODAY(),-2))&amp;"]","[DIM_Date].[Month].&amp;["&amp;MONTH(EDATE(TODAY(),-2))&amp;"]")</f>
        <v/>
      </c>
      <c r="M21" s="22">
        <f>CUBEVALUE("ThisWorkbookDataModel","[Measures].[Operating Expenses]","[DIM_Date].[Year].&amp;["&amp;YEAR(EDATE(TODAY(),-1))&amp;"]","[DIM_Date].[Month].&amp;["&amp;MONTH(EDATE(TODAY(),-1))&amp;"]")</f>
        <v/>
      </c>
      <c r="N21" s="22">
        <f>CUBEVALUE("ThisWorkbookDataModel","[Measures].[Operating Expenses]","[DIM_Date].[Year].&amp;["&amp;YEAR(EDATE(TODAY(),0))&amp;"]","[DIM_Date].[Month].&amp;["&amp;MONTH(EDATE(TODAY(),0))&amp;"]")</f>
        <v/>
      </c>
    </row>
    <row r="23">
      <c r="B23" s="13" t="inlineStr">
        <is>
          <t>Profit — trailing 12 months</t>
        </is>
      </c>
    </row>
    <row r="24">
      <c r="C24" s="21">
        <f>TEXT(EDATE(TODAY(),-11),"mmm-yy")</f>
        <v/>
      </c>
      <c r="D24" s="21">
        <f>TEXT(EDATE(TODAY(),-10),"mmm-yy")</f>
        <v/>
      </c>
      <c r="E24" s="21">
        <f>TEXT(EDATE(TODAY(),-9),"mmm-yy")</f>
        <v/>
      </c>
      <c r="F24" s="21">
        <f>TEXT(EDATE(TODAY(),-8),"mmm-yy")</f>
        <v/>
      </c>
      <c r="G24" s="21">
        <f>TEXT(EDATE(TODAY(),-7),"mmm-yy")</f>
        <v/>
      </c>
      <c r="H24" s="21">
        <f>TEXT(EDATE(TODAY(),-6),"mmm-yy")</f>
        <v/>
      </c>
      <c r="I24" s="21">
        <f>TEXT(EDATE(TODAY(),-5),"mmm-yy")</f>
        <v/>
      </c>
      <c r="J24" s="21">
        <f>TEXT(EDATE(TODAY(),-4),"mmm-yy")</f>
        <v/>
      </c>
      <c r="K24" s="21">
        <f>TEXT(EDATE(TODAY(),-3),"mmm-yy")</f>
        <v/>
      </c>
      <c r="L24" s="21">
        <f>TEXT(EDATE(TODAY(),-2),"mmm-yy")</f>
        <v/>
      </c>
      <c r="M24" s="21">
        <f>TEXT(EDATE(TODAY(),-1),"mmm-yy")</f>
        <v/>
      </c>
      <c r="N24" s="21">
        <f>TEXT(EDATE(TODAY(),0),"mmm-yy")</f>
        <v/>
      </c>
    </row>
    <row r="25">
      <c r="C25" s="22">
        <f>CUBEVALUE("ThisWorkbookDataModel","[Measures].[Net Profit]","[DIM_Date].[Year].&amp;["&amp;YEAR(EDATE(TODAY(),-11))&amp;"]","[DIM_Date].[Month].&amp;["&amp;MONTH(EDATE(TODAY(),-11))&amp;"]")</f>
        <v/>
      </c>
      <c r="D25" s="22">
        <f>CUBEVALUE("ThisWorkbookDataModel","[Measures].[Net Profit]","[DIM_Date].[Year].&amp;["&amp;YEAR(EDATE(TODAY(),-10))&amp;"]","[DIM_Date].[Month].&amp;["&amp;MONTH(EDATE(TODAY(),-10))&amp;"]")</f>
        <v/>
      </c>
      <c r="E25" s="22">
        <f>CUBEVALUE("ThisWorkbookDataModel","[Measures].[Net Profit]","[DIM_Date].[Year].&amp;["&amp;YEAR(EDATE(TODAY(),-9))&amp;"]","[DIM_Date].[Month].&amp;["&amp;MONTH(EDATE(TODAY(),-9))&amp;"]")</f>
        <v/>
      </c>
      <c r="F25" s="22">
        <f>CUBEVALUE("ThisWorkbookDataModel","[Measures].[Net Profit]","[DIM_Date].[Year].&amp;["&amp;YEAR(EDATE(TODAY(),-8))&amp;"]","[DIM_Date].[Month].&amp;["&amp;MONTH(EDATE(TODAY(),-8))&amp;"]")</f>
        <v/>
      </c>
      <c r="G25" s="22">
        <f>CUBEVALUE("ThisWorkbookDataModel","[Measures].[Net Profit]","[DIM_Date].[Year].&amp;["&amp;YEAR(EDATE(TODAY(),-7))&amp;"]","[DIM_Date].[Month].&amp;["&amp;MONTH(EDATE(TODAY(),-7))&amp;"]")</f>
        <v/>
      </c>
      <c r="H25" s="22">
        <f>CUBEVALUE("ThisWorkbookDataModel","[Measures].[Net Profit]","[DIM_Date].[Year].&amp;["&amp;YEAR(EDATE(TODAY(),-6))&amp;"]","[DIM_Date].[Month].&amp;["&amp;MONTH(EDATE(TODAY(),-6))&amp;"]")</f>
        <v/>
      </c>
      <c r="I25" s="22">
        <f>CUBEVALUE("ThisWorkbookDataModel","[Measures].[Net Profit]","[DIM_Date].[Year].&amp;["&amp;YEAR(EDATE(TODAY(),-5))&amp;"]","[DIM_Date].[Month].&amp;["&amp;MONTH(EDATE(TODAY(),-5))&amp;"]")</f>
        <v/>
      </c>
      <c r="J25" s="22">
        <f>CUBEVALUE("ThisWorkbookDataModel","[Measures].[Net Profit]","[DIM_Date].[Year].&amp;["&amp;YEAR(EDATE(TODAY(),-4))&amp;"]","[DIM_Date].[Month].&amp;["&amp;MONTH(EDATE(TODAY(),-4))&amp;"]")</f>
        <v/>
      </c>
      <c r="K25" s="22">
        <f>CUBEVALUE("ThisWorkbookDataModel","[Measures].[Net Profit]","[DIM_Date].[Year].&amp;["&amp;YEAR(EDATE(TODAY(),-3))&amp;"]","[DIM_Date].[Month].&amp;["&amp;MONTH(EDATE(TODAY(),-3))&amp;"]")</f>
        <v/>
      </c>
      <c r="L25" s="22">
        <f>CUBEVALUE("ThisWorkbookDataModel","[Measures].[Net Profit]","[DIM_Date].[Year].&amp;["&amp;YEAR(EDATE(TODAY(),-2))&amp;"]","[DIM_Date].[Month].&amp;["&amp;MONTH(EDATE(TODAY(),-2))&amp;"]")</f>
        <v/>
      </c>
      <c r="M25" s="22">
        <f>CUBEVALUE("ThisWorkbookDataModel","[Measures].[Net Profit]","[DIM_Date].[Year].&amp;["&amp;YEAR(EDATE(TODAY(),-1))&amp;"]","[DIM_Date].[Month].&amp;["&amp;MONTH(EDATE(TODAY(),-1))&amp;"]")</f>
        <v/>
      </c>
      <c r="N25" s="22">
        <f>CUBEVALUE("ThisWorkbookDataModel","[Measures].[Net Profit]","[DIM_Date].[Year].&amp;["&amp;YEAR(EDATE(TODAY(),0))&amp;"]","[DIM_Date].[Month].&amp;["&amp;MONTH(EDATE(TODAY(),0))&amp;"]")</f>
        <v/>
      </c>
    </row>
    <row r="27">
      <c r="B27" s="13" t="inlineStr">
        <is>
          <t>Inventory — trailing 12 months</t>
        </is>
      </c>
    </row>
    <row r="28">
      <c r="C28" s="21">
        <f>TEXT(EDATE(TODAY(),-11),"mmm-yy")</f>
        <v/>
      </c>
      <c r="D28" s="21">
        <f>TEXT(EDATE(TODAY(),-10),"mmm-yy")</f>
        <v/>
      </c>
      <c r="E28" s="21">
        <f>TEXT(EDATE(TODAY(),-9),"mmm-yy")</f>
        <v/>
      </c>
      <c r="F28" s="21">
        <f>TEXT(EDATE(TODAY(),-8),"mmm-yy")</f>
        <v/>
      </c>
      <c r="G28" s="21">
        <f>TEXT(EDATE(TODAY(),-7),"mmm-yy")</f>
        <v/>
      </c>
      <c r="H28" s="21">
        <f>TEXT(EDATE(TODAY(),-6),"mmm-yy")</f>
        <v/>
      </c>
      <c r="I28" s="21">
        <f>TEXT(EDATE(TODAY(),-5),"mmm-yy")</f>
        <v/>
      </c>
      <c r="J28" s="21">
        <f>TEXT(EDATE(TODAY(),-4),"mmm-yy")</f>
        <v/>
      </c>
      <c r="K28" s="21">
        <f>TEXT(EDATE(TODAY(),-3),"mmm-yy")</f>
        <v/>
      </c>
      <c r="L28" s="21">
        <f>TEXT(EDATE(TODAY(),-2),"mmm-yy")</f>
        <v/>
      </c>
      <c r="M28" s="21">
        <f>TEXT(EDATE(TODAY(),-1),"mmm-yy")</f>
        <v/>
      </c>
      <c r="N28" s="21">
        <f>TEXT(EDATE(TODAY(),0),"mmm-yy")</f>
        <v/>
      </c>
    </row>
    <row r="29">
      <c r="C29" s="22">
        <f>CUBEVALUE("ThisWorkbookDataModel","[Measures].[Inventory Value]","[DIM_Date].[Year].&amp;["&amp;YEAR(EDATE(TODAY(),-11))&amp;"]","[DIM_Date].[Month].&amp;["&amp;MONTH(EDATE(TODAY(),-11))&amp;"]")</f>
        <v/>
      </c>
      <c r="D29" s="22">
        <f>CUBEVALUE("ThisWorkbookDataModel","[Measures].[Inventory Value]","[DIM_Date].[Year].&amp;["&amp;YEAR(EDATE(TODAY(),-10))&amp;"]","[DIM_Date].[Month].&amp;["&amp;MONTH(EDATE(TODAY(),-10))&amp;"]")</f>
        <v/>
      </c>
      <c r="E29" s="22">
        <f>CUBEVALUE("ThisWorkbookDataModel","[Measures].[Inventory Value]","[DIM_Date].[Year].&amp;["&amp;YEAR(EDATE(TODAY(),-9))&amp;"]","[DIM_Date].[Month].&amp;["&amp;MONTH(EDATE(TODAY(),-9))&amp;"]")</f>
        <v/>
      </c>
      <c r="F29" s="22">
        <f>CUBEVALUE("ThisWorkbookDataModel","[Measures].[Inventory Value]","[DIM_Date].[Year].&amp;["&amp;YEAR(EDATE(TODAY(),-8))&amp;"]","[DIM_Date].[Month].&amp;["&amp;MONTH(EDATE(TODAY(),-8))&amp;"]")</f>
        <v/>
      </c>
      <c r="G29" s="22">
        <f>CUBEVALUE("ThisWorkbookDataModel","[Measures].[Inventory Value]","[DIM_Date].[Year].&amp;["&amp;YEAR(EDATE(TODAY(),-7))&amp;"]","[DIM_Date].[Month].&amp;["&amp;MONTH(EDATE(TODAY(),-7))&amp;"]")</f>
        <v/>
      </c>
      <c r="H29" s="22">
        <f>CUBEVALUE("ThisWorkbookDataModel","[Measures].[Inventory Value]","[DIM_Date].[Year].&amp;["&amp;YEAR(EDATE(TODAY(),-6))&amp;"]","[DIM_Date].[Month].&amp;["&amp;MONTH(EDATE(TODAY(),-6))&amp;"]")</f>
        <v/>
      </c>
      <c r="I29" s="22">
        <f>CUBEVALUE("ThisWorkbookDataModel","[Measures].[Inventory Value]","[DIM_Date].[Year].&amp;["&amp;YEAR(EDATE(TODAY(),-5))&amp;"]","[DIM_Date].[Month].&amp;["&amp;MONTH(EDATE(TODAY(),-5))&amp;"]")</f>
        <v/>
      </c>
      <c r="J29" s="22">
        <f>CUBEVALUE("ThisWorkbookDataModel","[Measures].[Inventory Value]","[DIM_Date].[Year].&amp;["&amp;YEAR(EDATE(TODAY(),-4))&amp;"]","[DIM_Date].[Month].&amp;["&amp;MONTH(EDATE(TODAY(),-4))&amp;"]")</f>
        <v/>
      </c>
      <c r="K29" s="22">
        <f>CUBEVALUE("ThisWorkbookDataModel","[Measures].[Inventory Value]","[DIM_Date].[Year].&amp;["&amp;YEAR(EDATE(TODAY(),-3))&amp;"]","[DIM_Date].[Month].&amp;["&amp;MONTH(EDATE(TODAY(),-3))&amp;"]")</f>
        <v/>
      </c>
      <c r="L29" s="22">
        <f>CUBEVALUE("ThisWorkbookDataModel","[Measures].[Inventory Value]","[DIM_Date].[Year].&amp;["&amp;YEAR(EDATE(TODAY(),-2))&amp;"]","[DIM_Date].[Month].&amp;["&amp;MONTH(EDATE(TODAY(),-2))&amp;"]")</f>
        <v/>
      </c>
      <c r="M29" s="22">
        <f>CUBEVALUE("ThisWorkbookDataModel","[Measures].[Inventory Value]","[DIM_Date].[Year].&amp;["&amp;YEAR(EDATE(TODAY(),-1))&amp;"]","[DIM_Date].[Month].&amp;["&amp;MONTH(EDATE(TODAY(),-1))&amp;"]")</f>
        <v/>
      </c>
      <c r="N29" s="22">
        <f>CUBEVALUE("ThisWorkbookDataModel","[Measures].[Inventory Value]","[DIM_Date].[Year].&amp;["&amp;YEAR(EDATE(TODAY(),0))&amp;"]","[DIM_Date].[Month].&amp;["&amp;MONTH(EDATE(TODAY(),0))&amp;"]")</f>
        <v/>
      </c>
    </row>
    <row r="31">
      <c r="B31" s="13" t="inlineStr">
        <is>
          <t>Cash — trailing 12 months</t>
        </is>
      </c>
    </row>
    <row r="32">
      <c r="C32" s="21">
        <f>TEXT(EDATE(TODAY(),-11),"mmm-yy")</f>
        <v/>
      </c>
      <c r="D32" s="21">
        <f>TEXT(EDATE(TODAY(),-10),"mmm-yy")</f>
        <v/>
      </c>
      <c r="E32" s="21">
        <f>TEXT(EDATE(TODAY(),-9),"mmm-yy")</f>
        <v/>
      </c>
      <c r="F32" s="21">
        <f>TEXT(EDATE(TODAY(),-8),"mmm-yy")</f>
        <v/>
      </c>
      <c r="G32" s="21">
        <f>TEXT(EDATE(TODAY(),-7),"mmm-yy")</f>
        <v/>
      </c>
      <c r="H32" s="21">
        <f>TEXT(EDATE(TODAY(),-6),"mmm-yy")</f>
        <v/>
      </c>
      <c r="I32" s="21">
        <f>TEXT(EDATE(TODAY(),-5),"mmm-yy")</f>
        <v/>
      </c>
      <c r="J32" s="21">
        <f>TEXT(EDATE(TODAY(),-4),"mmm-yy")</f>
        <v/>
      </c>
      <c r="K32" s="21">
        <f>TEXT(EDATE(TODAY(),-3),"mmm-yy")</f>
        <v/>
      </c>
      <c r="L32" s="21">
        <f>TEXT(EDATE(TODAY(),-2),"mmm-yy")</f>
        <v/>
      </c>
      <c r="M32" s="21">
        <f>TEXT(EDATE(TODAY(),-1),"mmm-yy")</f>
        <v/>
      </c>
      <c r="N32" s="21">
        <f>TEXT(EDATE(TODAY(),0),"mmm-yy")</f>
        <v/>
      </c>
    </row>
    <row r="33">
      <c r="C33" s="22">
        <f>CUBEVALUE("ThisWorkbookDataModel","[Measures].[Cash Position (Direct, Cumulative)]","[DIM_Date].[Year].&amp;["&amp;YEAR(EDATE(TODAY(),-11))&amp;"]","[DIM_Date].[Month].&amp;["&amp;MONTH(EDATE(TODAY(),-11))&amp;"]")</f>
        <v/>
      </c>
      <c r="D33" s="22">
        <f>CUBEVALUE("ThisWorkbookDataModel","[Measures].[Cash Position (Direct, Cumulative)]","[DIM_Date].[Year].&amp;["&amp;YEAR(EDATE(TODAY(),-10))&amp;"]","[DIM_Date].[Month].&amp;["&amp;MONTH(EDATE(TODAY(),-10))&amp;"]")</f>
        <v/>
      </c>
      <c r="E33" s="22">
        <f>CUBEVALUE("ThisWorkbookDataModel","[Measures].[Cash Position (Direct, Cumulative)]","[DIM_Date].[Year].&amp;["&amp;YEAR(EDATE(TODAY(),-9))&amp;"]","[DIM_Date].[Month].&amp;["&amp;MONTH(EDATE(TODAY(),-9))&amp;"]")</f>
        <v/>
      </c>
      <c r="F33" s="22">
        <f>CUBEVALUE("ThisWorkbookDataModel","[Measures].[Cash Position (Direct, Cumulative)]","[DIM_Date].[Year].&amp;["&amp;YEAR(EDATE(TODAY(),-8))&amp;"]","[DIM_Date].[Month].&amp;["&amp;MONTH(EDATE(TODAY(),-8))&amp;"]")</f>
        <v/>
      </c>
      <c r="G33" s="22">
        <f>CUBEVALUE("ThisWorkbookDataModel","[Measures].[Cash Position (Direct, Cumulative)]","[DIM_Date].[Year].&amp;["&amp;YEAR(EDATE(TODAY(),-7))&amp;"]","[DIM_Date].[Month].&amp;["&amp;MONTH(EDATE(TODAY(),-7))&amp;"]")</f>
        <v/>
      </c>
      <c r="H33" s="22">
        <f>CUBEVALUE("ThisWorkbookDataModel","[Measures].[Cash Position (Direct, Cumulative)]","[DIM_Date].[Year].&amp;["&amp;YEAR(EDATE(TODAY(),-6))&amp;"]","[DIM_Date].[Month].&amp;["&amp;MONTH(EDATE(TODAY(),-6))&amp;"]")</f>
        <v/>
      </c>
      <c r="I33" s="22">
        <f>CUBEVALUE("ThisWorkbookDataModel","[Measures].[Cash Position (Direct, Cumulative)]","[DIM_Date].[Year].&amp;["&amp;YEAR(EDATE(TODAY(),-5))&amp;"]","[DIM_Date].[Month].&amp;["&amp;MONTH(EDATE(TODAY(),-5))&amp;"]")</f>
        <v/>
      </c>
      <c r="J33" s="22">
        <f>CUBEVALUE("ThisWorkbookDataModel","[Measures].[Cash Position (Direct, Cumulative)]","[DIM_Date].[Year].&amp;["&amp;YEAR(EDATE(TODAY(),-4))&amp;"]","[DIM_Date].[Month].&amp;["&amp;MONTH(EDATE(TODAY(),-4))&amp;"]")</f>
        <v/>
      </c>
      <c r="K33" s="22">
        <f>CUBEVALUE("ThisWorkbookDataModel","[Measures].[Cash Position (Direct, Cumulative)]","[DIM_Date].[Year].&amp;["&amp;YEAR(EDATE(TODAY(),-3))&amp;"]","[DIM_Date].[Month].&amp;["&amp;MONTH(EDATE(TODAY(),-3))&amp;"]")</f>
        <v/>
      </c>
      <c r="L33" s="22">
        <f>CUBEVALUE("ThisWorkbookDataModel","[Measures].[Cash Position (Direct, Cumulative)]","[DIM_Date].[Year].&amp;["&amp;YEAR(EDATE(TODAY(),-2))&amp;"]","[DIM_Date].[Month].&amp;["&amp;MONTH(EDATE(TODAY(),-2))&amp;"]")</f>
        <v/>
      </c>
      <c r="M33" s="22">
        <f>CUBEVALUE("ThisWorkbookDataModel","[Measures].[Cash Position (Direct, Cumulative)]","[DIM_Date].[Year].&amp;["&amp;YEAR(EDATE(TODAY(),-1))&amp;"]","[DIM_Date].[Month].&amp;["&amp;MONTH(EDATE(TODAY(),-1))&amp;"]")</f>
        <v/>
      </c>
      <c r="N33" s="22">
        <f>CUBEVALUE("ThisWorkbookDataModel","[Measures].[Cash Position (Direct, Cumulative)]","[DIM_Date].[Year].&amp;["&amp;YEAR(EDATE(TODAY(),0))&amp;"]","[DIM_Date].[Month].&amp;["&amp;MONTH(EDATE(TODAY(),0))&amp;"]")</f>
        <v/>
      </c>
    </row>
    <row r="36">
      <c r="B36" s="54" t="inlineStr">
        <is>
          <t>FORECAST (next period, linear trend)</t>
        </is>
      </c>
    </row>
    <row r="37">
      <c r="B37" s="24" t="inlineStr">
        <is>
          <t>Sales</t>
        </is>
      </c>
      <c r="C37" s="24" t="inlineStr">
        <is>
          <t>Linear Trend (FORECAST.LINEAR)</t>
        </is>
      </c>
      <c r="D37" s="24" t="inlineStr">
        <is>
          <t>Next Month</t>
        </is>
      </c>
      <c r="E37" s="56">
        <f>_xlfn.FORECAST.LINEAR(13,C17:N17,{1,2,3,4,5,6,7,8,9,10,11,12})</f>
        <v/>
      </c>
    </row>
    <row r="38">
      <c r="B38" s="24" t="inlineStr">
        <is>
          <t>Expenses</t>
        </is>
      </c>
      <c r="C38" s="24" t="inlineStr">
        <is>
          <t>Linear Trend (FORECAST.LINEAR)</t>
        </is>
      </c>
      <c r="D38" s="24" t="inlineStr">
        <is>
          <t>Next Month</t>
        </is>
      </c>
      <c r="E38" s="56">
        <f>_xlfn.FORECAST.LINEAR(13,C21:N21,{1,2,3,4,5,6,7,8,9,10,11,12})</f>
        <v/>
      </c>
    </row>
    <row r="39">
      <c r="B39" s="24" t="inlineStr">
        <is>
          <t>Profit</t>
        </is>
      </c>
      <c r="C39" s="24" t="inlineStr">
        <is>
          <t>Linear Trend (FORECAST.LINEAR)</t>
        </is>
      </c>
      <c r="D39" s="24" t="inlineStr">
        <is>
          <t>Next Month</t>
        </is>
      </c>
      <c r="E39" s="56">
        <f>_xlfn.FORECAST.LINEAR(13,C25:N25,{1,2,3,4,5,6,7,8,9,10,11,12})</f>
        <v/>
      </c>
    </row>
    <row r="40">
      <c r="B40" s="24" t="inlineStr">
        <is>
          <t>Inventory</t>
        </is>
      </c>
      <c r="C40" s="24" t="inlineStr">
        <is>
          <t>Linear Trend (FORECAST.LINEAR)</t>
        </is>
      </c>
      <c r="D40" s="24" t="inlineStr">
        <is>
          <t>Next Month</t>
        </is>
      </c>
      <c r="E40" s="56">
        <f>_xlfn.FORECAST.LINEAR(13,C29:N29,{1,2,3,4,5,6,7,8,9,10,11,12})</f>
        <v/>
      </c>
    </row>
    <row r="41">
      <c r="B41" s="24" t="inlineStr">
        <is>
          <t>Cash</t>
        </is>
      </c>
      <c r="C41" s="24" t="inlineStr">
        <is>
          <t>Linear Trend (FORECAST.LINEAR)</t>
        </is>
      </c>
      <c r="D41" s="24" t="inlineStr">
        <is>
          <t>Next Month</t>
        </is>
      </c>
      <c r="E41" s="56">
        <f>_xlfn.FORECAST.LINEAR(13,C33:N33,{1,2,3,4,5,6,7,8,9,10,11,12})</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6.xml><?xml version="1.0" encoding="utf-8"?>
<worksheet xmlns="http://schemas.openxmlformats.org/spreadsheetml/2006/main">
  <sheetPr>
    <tabColor rgb="0031859B"/>
    <outlinePr applyStyles="1" summaryBelow="0" summaryRight="1"/>
    <pageSetUpPr/>
  </sheetPr>
  <dimension ref="A1:E27"/>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BI_HealthScore</t>
        </is>
      </c>
    </row>
    <row r="2" ht="16" customHeight="1">
      <c r="A2" s="17" t="inlineStr">
        <is>
          <t>PASSRESS MIS   |   Home ▸ BI_HealthScore</t>
        </is>
      </c>
    </row>
    <row r="3" ht="14" customHeight="1">
      <c r="A3" s="3" t="inlineStr">
        <is>
          <t>Sheet Documentation  (use the  +  outline control at left to expand)</t>
        </is>
      </c>
    </row>
    <row r="4" hidden="1" outlineLevel="1" ht="13" customHeight="1">
      <c r="A4" s="4" t="inlineStr">
        <is>
          <t>Purpose</t>
        </is>
      </c>
      <c r="B4" s="5" t="inlineStr">
        <is>
          <t>The single master KPI (0-100, Red/Amber/Green) combining 10 weighted components across growth, profitability, cash, inventory, customers, budget, data quality, and alerts — the one number an executive glances at first.</t>
        </is>
      </c>
    </row>
    <row r="5" hidden="1" outlineLevel="1" ht="13" customHeight="1">
      <c r="A5" s="4" t="inlineStr">
        <is>
          <t>Input tables</t>
        </is>
      </c>
      <c r="B5" s="5" t="inlineStr">
        <is>
          <t>The Data Model (dax/MEASURES.md, PHASE5/6 addenda) via CUBEVALUE; 14_Data_Quality's Overall Data Quality %; BI_Alerts' Status column; tbl_HealthScoreWeights (15_Settings).</t>
        </is>
      </c>
    </row>
    <row r="6" hidden="1" outlineLevel="1" ht="13" customHeight="1">
      <c r="A6" s="4" t="inlineStr">
        <is>
          <t>Output tables</t>
        </is>
      </c>
      <c r="B6" s="5" t="inlineStr">
        <is>
          <t>02_Partner_Dashboard, 03_CEO_Dashboard, and RPT_ExecutiveBrief all reference this sheet's Total Score cell directly.</t>
        </is>
      </c>
    </row>
    <row r="7" hidden="1" outlineLevel="1" ht="13" customHeight="1">
      <c r="A7" s="4" t="inlineStr">
        <is>
          <t>Relationships</t>
        </is>
      </c>
      <c r="B7" s="5" t="inlineStr">
        <is>
          <t>No Data Model relationship — reads via CUBE functions and direct cell/table references, same mechanism as BI_Insights/BI_Alerts.</t>
        </is>
      </c>
    </row>
    <row r="8" hidden="1" outlineLevel="1" ht="13" customHeight="1">
      <c r="A8" s="4" t="inlineStr">
        <is>
          <t>Future data source</t>
        </is>
      </c>
      <c r="B8" s="5" t="inlineStr">
        <is>
          <t>Already live: resolves for real once the Data Model + measures are wired.</t>
        </is>
      </c>
    </row>
    <row r="9" hidden="1" outlineLevel="1"/>
    <row r="10" ht="6" customHeight="1"/>
    <row r="11" ht="18" customHeight="1">
      <c r="B11" s="42" t="inlineStr">
        <is>
          <t>Component</t>
        </is>
      </c>
      <c r="C11" s="42" t="inlineStr">
        <is>
          <t>Score (0-100)</t>
        </is>
      </c>
      <c r="D11" s="42" t="inlineStr">
        <is>
          <t>Weight</t>
        </is>
      </c>
      <c r="E11" s="42" t="inlineStr">
        <is>
          <t>Weighted Contribution</t>
        </is>
      </c>
    </row>
    <row r="12">
      <c r="B12" s="30" t="n"/>
      <c r="C12" s="30" t="n"/>
      <c r="D12" s="30" t="n"/>
      <c r="E12" s="30" t="n"/>
    </row>
    <row r="14">
      <c r="B14" s="54" t="inlineStr">
        <is>
          <t>COMPONENT SCORES  (formulas — do not edit; change weights on 15_Settings instead)</t>
        </is>
      </c>
    </row>
    <row r="15">
      <c r="B15" s="24" t="inlineStr">
        <is>
          <t>Revenue Growth</t>
        </is>
      </c>
      <c r="C15" s="57">
        <f>MIN(100,MAX(0,50+CUBEVALUE("ThisWorkbookDataModel","[Measures].[Revenue Growth % (YoY)]")*250))</f>
        <v/>
      </c>
      <c r="D15" s="24">
        <f>INDEX(tbl_HealthScoreWeights[Weight],MATCH(B15,tbl_HealthScoreWeights[Component],0))</f>
        <v/>
      </c>
      <c r="E15" s="58">
        <f>C15*D15</f>
        <v/>
      </c>
    </row>
    <row r="16">
      <c r="B16" s="24" t="inlineStr">
        <is>
          <t>Gross Margin</t>
        </is>
      </c>
      <c r="C16" s="57">
        <f>MIN(100,MAX(0,IFERROR(CUBEVALUE("ThisWorkbookDataModel","[Measures].[Gross Margin %]")/CUBEVALUE("ThisWorkbookDataModel","[Measures].[Margin Target]")*100,0)))</f>
        <v/>
      </c>
      <c r="D16" s="24">
        <f>INDEX(tbl_HealthScoreWeights[Weight],MATCH(B16,tbl_HealthScoreWeights[Component],0))</f>
        <v/>
      </c>
      <c r="E16" s="58">
        <f>C16*D16</f>
        <v/>
      </c>
    </row>
    <row r="17">
      <c r="B17" s="24" t="inlineStr">
        <is>
          <t>Cash Position</t>
        </is>
      </c>
      <c r="C17" s="57">
        <f>MIN(100,MAX(0,IFERROR(CUBEVALUE("ThisWorkbookDataModel","[Measures].[Cash Position (Direct, Cumulative)]")/CUBEVALUE("ThisWorkbookDataModel","[Measures].[Expense Budget (Period)]")*100,0)))</f>
        <v/>
      </c>
      <c r="D17" s="24">
        <f>INDEX(tbl_HealthScoreWeights[Weight],MATCH(B17,tbl_HealthScoreWeights[Component],0))</f>
        <v/>
      </c>
      <c r="E17" s="58">
        <f>C17*D17</f>
        <v/>
      </c>
    </row>
    <row r="18">
      <c r="B18" s="24" t="inlineStr">
        <is>
          <t>Inventory Health</t>
        </is>
      </c>
      <c r="C18" s="57">
        <f>MIN(100,MAX(0,IFERROR(CUBEVALUE("ThisWorkbookDataModel","[Measures].[Inventory Turnover]")/CUBEVALUE("ThisWorkbookDataModel","[Measures].[Inventory Turnover Target]")*100,0)))</f>
        <v/>
      </c>
      <c r="D18" s="24">
        <f>INDEX(tbl_HealthScoreWeights[Weight],MATCH(B18,tbl_HealthScoreWeights[Component],0))</f>
        <v/>
      </c>
      <c r="E18" s="58">
        <f>C18*D18</f>
        <v/>
      </c>
    </row>
    <row r="19">
      <c r="B19" s="24" t="inlineStr">
        <is>
          <t>Customer Growth</t>
        </is>
      </c>
      <c r="C19" s="57">
        <f>MIN(100,MAX(0,50+CUBEVALUE("ThisWorkbookDataModel","[Measures].[Customer Growth % (YoY)]")*250))</f>
        <v/>
      </c>
      <c r="D19" s="24">
        <f>INDEX(tbl_HealthScoreWeights[Weight],MATCH(B19,tbl_HealthScoreWeights[Component],0))</f>
        <v/>
      </c>
      <c r="E19" s="58">
        <f>C19*D19</f>
        <v/>
      </c>
    </row>
    <row r="20">
      <c r="B20" s="24" t="inlineStr">
        <is>
          <t>Repeat Customers</t>
        </is>
      </c>
      <c r="C20" s="57">
        <f>MIN(100,MAX(0,IFERROR(CUBEVALUE("ThisWorkbookDataModel","[Measures].[Repeat Customer % Actual]")/CUBEVALUE("ThisWorkbookDataModel","[Measures].[Repeat Customer % Target]")*100,0)))</f>
        <v/>
      </c>
      <c r="D20" s="24">
        <f>INDEX(tbl_HealthScoreWeights[Weight],MATCH(B20,tbl_HealthScoreWeights[Component],0))</f>
        <v/>
      </c>
      <c r="E20" s="58">
        <f>C20*D20</f>
        <v/>
      </c>
    </row>
    <row r="21">
      <c r="B21" s="24" t="inlineStr">
        <is>
          <t>Return Rate</t>
        </is>
      </c>
      <c r="C21" s="57">
        <f>MIN(100,MAX(0,100-CUBEVALUE("ThisWorkbookDataModel","[Measures].[Return Rate %]")*1000))</f>
        <v/>
      </c>
      <c r="D21" s="24">
        <f>INDEX(tbl_HealthScoreWeights[Weight],MATCH(B21,tbl_HealthScoreWeights[Component],0))</f>
        <v/>
      </c>
      <c r="E21" s="58">
        <f>C21*D21</f>
        <v/>
      </c>
    </row>
    <row r="22">
      <c r="B22" s="24" t="inlineStr">
        <is>
          <t>Budget Performance</t>
        </is>
      </c>
      <c r="C22" s="57">
        <f>MIN(100,MAX(0,100-ABS(IFERROR(CUBEVALUE("ThisWorkbookDataModel","[Measures].[Expense Actual vs Budget]")/CUBEVALUE("ThisWorkbookDataModel","[Measures].[Expense Budget (Period)]"),0))*100))</f>
        <v/>
      </c>
      <c r="D22" s="24">
        <f>INDEX(tbl_HealthScoreWeights[Weight],MATCH(B22,tbl_HealthScoreWeights[Component],0))</f>
        <v/>
      </c>
      <c r="E22" s="58">
        <f>C22*D22</f>
        <v/>
      </c>
    </row>
    <row r="23">
      <c r="B23" s="24" t="inlineStr">
        <is>
          <t>Data Quality</t>
        </is>
      </c>
      <c r="C23" s="57">
        <f>MIN(100,MAX(0,OverallDataQualityPct*100))</f>
        <v/>
      </c>
      <c r="D23" s="24">
        <f>INDEX(tbl_HealthScoreWeights[Weight],MATCH(B23,tbl_HealthScoreWeights[Component],0))</f>
        <v/>
      </c>
      <c r="E23" s="58">
        <f>C23*D23</f>
        <v/>
      </c>
    </row>
    <row r="24">
      <c r="B24" s="24" t="inlineStr">
        <is>
          <t>Alerts</t>
        </is>
      </c>
      <c r="C24" s="57">
        <f>MIN(100,MAX(0,100-COUNTIF('BI_Alerts'!E15:E26,"TRIGGERED*")*(100/12)))</f>
        <v/>
      </c>
      <c r="D24" s="24">
        <f>INDEX(tbl_HealthScoreWeights[Weight],MATCH(B24,tbl_HealthScoreWeights[Component],0))</f>
        <v/>
      </c>
      <c r="E24" s="58">
        <f>C24*D24</f>
        <v/>
      </c>
    </row>
    <row r="26">
      <c r="B26" s="34" t="inlineStr">
        <is>
          <t>TOTAL BUSINESS HEALTH SCORE</t>
        </is>
      </c>
      <c r="C26" s="59">
        <f>SUM(E15:E24)/SUM(D15:D24)</f>
        <v/>
      </c>
    </row>
    <row r="27">
      <c r="B27" s="16" t="inlineStr">
        <is>
          <t>Status (Red &lt; 50, Amber 50-75, Green &gt; 75)</t>
        </is>
      </c>
      <c r="C27" s="60">
        <f>IF(C26&gt;75,"GREEN",IF(C26&gt;=50,"AMBER","RED"))</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7.xml><?xml version="1.0" encoding="utf-8"?>
<worksheet xmlns="http://schemas.openxmlformats.org/spreadsheetml/2006/main">
  <sheetPr>
    <tabColor rgb="0031859B"/>
    <outlinePr applyStyles="1" summaryBelow="0" summaryRight="1"/>
    <pageSetUpPr fitToPage="1"/>
  </sheetPr>
  <dimension ref="A1:K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34" customHeight="1">
      <c r="A1" s="1" t="inlineStr">
        <is>
          <t>Daily Executive Brief</t>
        </is>
      </c>
    </row>
    <row r="2" ht="16" customHeight="1">
      <c r="A2" s="17" t="inlineStr">
        <is>
          <t>PASSRESS MIS   |   Home ▸ Daily Executive Brief</t>
        </is>
      </c>
    </row>
    <row r="3" ht="14" customHeight="1">
      <c r="A3" s="3" t="inlineStr">
        <is>
          <t>Sheet Documentation  (use the  +  outline control at left to expand)</t>
        </is>
      </c>
    </row>
    <row r="4" hidden="1" outlineLevel="1" ht="13" customHeight="1">
      <c r="A4" s="4" t="inlineStr">
        <is>
          <t>Purpose</t>
        </is>
      </c>
      <c r="B4" s="5" t="inlineStr">
        <is>
          <t>One-page, auto-summarized snapshot of today's business — printable as-is, no editing or slicers, suitable to hand a partner without walking them through the workbook.</t>
        </is>
      </c>
    </row>
    <row r="5" hidden="1" outlineLevel="1" ht="13" customHeight="1">
      <c r="A5" s="4" t="inlineStr">
        <is>
          <t>Input tables</t>
        </is>
      </c>
      <c r="B5" s="5" t="inlineStr">
        <is>
          <t>The Data Model via CUBEVALUE/CUBESET; BI_HealthScore; BI_Alerts; BI_Insights.</t>
        </is>
      </c>
    </row>
    <row r="6" hidden="1" outlineLevel="1" ht="13" customHeight="1">
      <c r="A6" s="4" t="inlineStr">
        <is>
          <t>Output tables</t>
        </is>
      </c>
      <c r="B6" s="5" t="inlineStr">
        <is>
          <t>A single printable A4 page.</t>
        </is>
      </c>
    </row>
    <row r="7" hidden="1" outlineLevel="1" ht="13" customHeight="1">
      <c r="A7" s="4" t="inlineStr">
        <is>
          <t>Relationships</t>
        </is>
      </c>
      <c r="B7" s="5" t="inlineStr">
        <is>
          <t>Reads the Data Model and the BI_ sheets directly — this page computes nothing new itself.</t>
        </is>
      </c>
    </row>
    <row r="8" hidden="1" outlineLevel="1" ht="13" customHeight="1">
      <c r="A8" s="4" t="inlineStr">
        <is>
          <t>Future data source</t>
        </is>
      </c>
      <c r="B8" s="5" t="inlineStr">
        <is>
          <t>Already live: resolves for real once the Data Model + measures are wired.</t>
        </is>
      </c>
    </row>
    <row r="9" hidden="1" outlineLevel="1"/>
    <row r="10" ht="6" customHeight="1"/>
    <row r="11">
      <c r="B11" s="6" t="inlineStr">
        <is>
          <t>REVENUE TODAY</t>
        </is>
      </c>
      <c r="C11" s="6" t="inlineStr">
        <is>
          <t>ORDERS TODAY</t>
        </is>
      </c>
      <c r="D11" s="6" t="inlineStr">
        <is>
          <t>GROSS PROFIT</t>
        </is>
      </c>
      <c r="E11" s="6" t="inlineStr">
        <is>
          <t>MARGIN %</t>
        </is>
      </c>
      <c r="F11" s="6" t="inlineStr">
        <is>
          <t>CASH POSITION</t>
        </is>
      </c>
      <c r="G11" s="6" t="inlineStr">
        <is>
          <t>INVENTORY VALUE</t>
        </is>
      </c>
    </row>
    <row r="12">
      <c r="B12" s="61">
        <f>CUBEVALUE("ThisWorkbookDataModel","[Measures].[Net Sales]","[DIM_Date].[Year].&amp;["&amp;YEAR(TODAY())&amp;"]","[DIM_Date].[Month].&amp;["&amp;MONTH(TODAY())&amp;"]","[DIM_Date].[Day].&amp;["&amp;DAY(TODAY())&amp;"]")</f>
        <v/>
      </c>
      <c r="C12" s="61">
        <f>CUBEVALUE("ThisWorkbookDataModel","[Measures].[Order Count]","[DIM_Date].[Year].&amp;["&amp;YEAR(TODAY())&amp;"]","[DIM_Date].[Month].&amp;["&amp;MONTH(TODAY())&amp;"]","[DIM_Date].[Day].&amp;["&amp;DAY(TODAY())&amp;"]")</f>
        <v/>
      </c>
      <c r="D12" s="61">
        <f>CUBEVALUE("ThisWorkbookDataModel","[Measures].[Gross Profit]","[DIM_Date].[Year].&amp;["&amp;YEAR(TODAY())&amp;"]","[DIM_Date].[Month].&amp;["&amp;MONTH(TODAY())&amp;"]","[DIM_Date].[Day].&amp;["&amp;DAY(TODAY())&amp;"]")</f>
        <v/>
      </c>
      <c r="E12" s="62">
        <f>CUBEVALUE("ThisWorkbookDataModel","[Measures].[Gross Margin %]","[DIM_Date].[Year].&amp;["&amp;YEAR(TODAY())&amp;"]","[DIM_Date].[Month].&amp;["&amp;MONTH(TODAY())&amp;"]","[DIM_Date].[Day].&amp;["&amp;DAY(TODAY())&amp;"]")</f>
        <v/>
      </c>
      <c r="F12" s="61">
        <f>CUBEVALUE("ThisWorkbookDataModel","[Measures].[Cash Position (Direct, Cumulative)]")</f>
        <v/>
      </c>
      <c r="G12" s="61">
        <f>CUBEVALUE("ThisWorkbookDataModel","[Measures].[Inventory Value]")</f>
        <v/>
      </c>
    </row>
    <row r="13">
      <c r="B13" s="7" t="n"/>
      <c r="C13" s="7" t="n"/>
      <c r="D13" s="7" t="n"/>
      <c r="E13" s="7" t="n"/>
      <c r="F13" s="7" t="n"/>
      <c r="G13" s="7" t="n"/>
    </row>
    <row r="15">
      <c r="B15" s="54" t="inlineStr">
        <is>
          <t>Revenue vs Yesterday</t>
        </is>
      </c>
    </row>
    <row r="16">
      <c r="B16" s="63">
        <f>IFERROR(CUBEVALUE("ThisWorkbookDataModel","[Measures].[Net Sales]","[DIM_Date].[Year].&amp;["&amp;YEAR(TODAY())&amp;"]","[DIM_Date].[Month].&amp;["&amp;MONTH(TODAY())&amp;"]","[DIM_Date].[Day].&amp;["&amp;DAY(TODAY())&amp;"]")-CUBEVALUE("ThisWorkbookDataModel","[Measures].[Net Sales]","[DIM_Date].[Year].&amp;["&amp;YEAR(TODAY()-1)&amp;"]","[DIM_Date].[Month].&amp;["&amp;MONTH(TODAY()-1)&amp;"]","[DIM_Date].[Day].&amp;["&amp;DAY(TODAY()-1)&amp;"]"),0)</f>
        <v/>
      </c>
      <c r="C16" s="64">
        <f>IF(B16&gt;=0,"▲ Increase","▼ Decrease")</f>
        <v/>
      </c>
    </row>
    <row r="18">
      <c r="B18" s="11" t="inlineStr">
        <is>
          <t>TOP 5 PRODUCTS</t>
        </is>
      </c>
      <c r="G18" s="11" t="inlineStr">
        <is>
          <t>TOP 5 COLLECTIONS</t>
        </is>
      </c>
    </row>
    <row r="19">
      <c r="B19" s="11" t="inlineStr">
        <is>
          <t>Top 5 Products (Brief)</t>
        </is>
      </c>
      <c r="F19" s="23">
        <f>CUBESET("ThisWorkbookDataModel","{[DIM_Product].[Title].Children}","Top 5 Products (Brief)","BDESC","[Measures].[Net Sales]")</f>
        <v/>
      </c>
      <c r="G19" s="11" t="inlineStr">
        <is>
          <t>Top 5 Collections (Brief)</t>
        </is>
      </c>
      <c r="K19" s="23">
        <f>CUBESET("ThisWorkbookDataModel","{[DIM_Collection].[Title].Children}","Top 5 Collections (Brief)","BDESC","[Measures].[Net Sales]")</f>
        <v/>
      </c>
    </row>
    <row r="20">
      <c r="B20" s="24">
        <f>CUBERANKEDMEMBER("ThisWorkbookDataModel",$F$19,1)</f>
        <v/>
      </c>
      <c r="D20" s="25">
        <f>CUBEVALUE("ThisWorkbookDataModel","[Measures].[Net Sales]",CUBERANKEDMEMBER("ThisWorkbookDataModel",$F$19,1))</f>
        <v/>
      </c>
      <c r="G20" s="24">
        <f>CUBERANKEDMEMBER("ThisWorkbookDataModel",$K$19,1)</f>
        <v/>
      </c>
      <c r="I20" s="25">
        <f>CUBEVALUE("ThisWorkbookDataModel","[Measures].[Net Sales]",CUBERANKEDMEMBER("ThisWorkbookDataModel",$K$19,1))</f>
        <v/>
      </c>
    </row>
    <row r="21">
      <c r="B21" s="24">
        <f>CUBERANKEDMEMBER("ThisWorkbookDataModel",$F$19,2)</f>
        <v/>
      </c>
      <c r="D21" s="25">
        <f>CUBEVALUE("ThisWorkbookDataModel","[Measures].[Net Sales]",CUBERANKEDMEMBER("ThisWorkbookDataModel",$F$19,2))</f>
        <v/>
      </c>
      <c r="G21" s="24">
        <f>CUBERANKEDMEMBER("ThisWorkbookDataModel",$K$19,2)</f>
        <v/>
      </c>
      <c r="I21" s="25">
        <f>CUBEVALUE("ThisWorkbookDataModel","[Measures].[Net Sales]",CUBERANKEDMEMBER("ThisWorkbookDataModel",$K$19,2))</f>
        <v/>
      </c>
    </row>
    <row r="22">
      <c r="B22" s="24">
        <f>CUBERANKEDMEMBER("ThisWorkbookDataModel",$F$19,3)</f>
        <v/>
      </c>
      <c r="D22" s="25">
        <f>CUBEVALUE("ThisWorkbookDataModel","[Measures].[Net Sales]",CUBERANKEDMEMBER("ThisWorkbookDataModel",$F$19,3))</f>
        <v/>
      </c>
      <c r="G22" s="24">
        <f>CUBERANKEDMEMBER("ThisWorkbookDataModel",$K$19,3)</f>
        <v/>
      </c>
      <c r="I22" s="25">
        <f>CUBEVALUE("ThisWorkbookDataModel","[Measures].[Net Sales]",CUBERANKEDMEMBER("ThisWorkbookDataModel",$K$19,3))</f>
        <v/>
      </c>
    </row>
    <row r="23">
      <c r="B23" s="24">
        <f>CUBERANKEDMEMBER("ThisWorkbookDataModel",$F$19,4)</f>
        <v/>
      </c>
      <c r="D23" s="25">
        <f>CUBEVALUE("ThisWorkbookDataModel","[Measures].[Net Sales]",CUBERANKEDMEMBER("ThisWorkbookDataModel",$F$19,4))</f>
        <v/>
      </c>
      <c r="G23" s="24">
        <f>CUBERANKEDMEMBER("ThisWorkbookDataModel",$K$19,4)</f>
        <v/>
      </c>
      <c r="I23" s="25">
        <f>CUBEVALUE("ThisWorkbookDataModel","[Measures].[Net Sales]",CUBERANKEDMEMBER("ThisWorkbookDataModel",$K$19,4))</f>
        <v/>
      </c>
    </row>
    <row r="24">
      <c r="B24" s="24">
        <f>CUBERANKEDMEMBER("ThisWorkbookDataModel",$F$19,5)</f>
        <v/>
      </c>
      <c r="D24" s="25">
        <f>CUBEVALUE("ThisWorkbookDataModel","[Measures].[Net Sales]",CUBERANKEDMEMBER("ThisWorkbookDataModel",$F$19,5))</f>
        <v/>
      </c>
      <c r="G24" s="24">
        <f>CUBERANKEDMEMBER("ThisWorkbookDataModel",$K$19,5)</f>
        <v/>
      </c>
      <c r="I24" s="25">
        <f>CUBEVALUE("ThisWorkbookDataModel","[Measures].[Net Sales]",CUBERANKEDMEMBER("ThisWorkbookDataModel",$K$19,5))</f>
        <v/>
      </c>
    </row>
    <row r="26">
      <c r="B26" s="11" t="inlineStr">
        <is>
          <t>CRITICAL ALERTS</t>
        </is>
      </c>
    </row>
    <row r="27">
      <c r="B27" s="65" t="inlineStr">
        <is>
          <t>Negative Margin</t>
        </is>
      </c>
      <c r="D27" s="45">
        <f>'BI_Alerts'!E16</f>
        <v/>
      </c>
    </row>
    <row r="28">
      <c r="B28" s="65" t="inlineStr">
        <is>
          <t>Missing Shopify Sync</t>
        </is>
      </c>
      <c r="D28" s="45">
        <f>'BI_Alerts'!E24</f>
        <v/>
      </c>
    </row>
    <row r="30">
      <c r="B30" s="11" t="inlineStr">
        <is>
          <t>BUSINESS HEALTH SCORE</t>
        </is>
      </c>
    </row>
    <row r="31">
      <c r="B31" s="66">
        <f>BusinessHealthScore</f>
        <v/>
      </c>
      <c r="D31" s="67">
        <f>BusinessHealthStatus</f>
        <v/>
      </c>
    </row>
    <row r="33">
      <c r="B33" s="11" t="inlineStr">
        <is>
          <t>EXECUTIVE COMMENTARY</t>
        </is>
      </c>
    </row>
    <row r="34" ht="16" customHeight="1">
      <c r="B34" s="26">
        <f>"•  "&amp;IFERROR('BI_Insights'!D15,"(resolves once Data Model is wired)")</f>
        <v/>
      </c>
    </row>
    <row r="35" ht="16" customHeight="1">
      <c r="B35" s="26">
        <f>"•  "&amp;IFERROR('BI_Insights'!D16,"(resolves once Data Model is wired)")</f>
        <v/>
      </c>
    </row>
    <row r="36" ht="16" customHeight="1">
      <c r="B36" s="26">
        <f>"•  "&amp;IFERROR('BI_Insights'!D19,"(resolves once Data Model is wired)")</f>
        <v/>
      </c>
    </row>
    <row r="37" ht="16" customHeight="1">
      <c r="B37"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7:J7"/>
    <mergeCell ref="A1:J1"/>
    <mergeCell ref="B5:J5"/>
    <mergeCell ref="B34:J34"/>
    <mergeCell ref="B37:J37"/>
    <mergeCell ref="B12:B13"/>
    <mergeCell ref="E12:E13"/>
    <mergeCell ref="C12:C13"/>
    <mergeCell ref="B36:J36"/>
    <mergeCell ref="A3:J3"/>
    <mergeCell ref="F12:F13"/>
    <mergeCell ref="G12:G13"/>
    <mergeCell ref="B8:J8"/>
    <mergeCell ref="B35:J35"/>
    <mergeCell ref="B4:J4"/>
    <mergeCell ref="A2:J2"/>
    <mergeCell ref="D12:D13"/>
    <mergeCell ref="B6:J6"/>
  </mergeCells>
  <hyperlinks>
    <hyperlink xmlns:r="http://schemas.openxmlformats.org/officeDocument/2006/relationships" ref="A2" r:id="rId1"/>
  </hyperlinks>
  <pageMargins left="0.3" right="0.3" top="0.4" bottom="0.4" header="0.5" footer="0.5"/>
  <pageSetup orientation="portrait" paperSize="9" fitToHeight="1" fitToWidth="1"/>
</worksheet>
</file>

<file path=xl/worksheets/sheet58.xml><?xml version="1.0" encoding="utf-8"?>
<worksheet xmlns="http://schemas.openxmlformats.org/spreadsheetml/2006/main">
  <sheetPr>
    <tabColor rgb="0031859B"/>
    <outlinePr applyStyles="1" summaryBelow="0" summaryRight="1"/>
    <pageSetUpPr fitToPage="1"/>
  </sheetPr>
  <dimension ref="A1:N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RPT_Workflow</t>
        </is>
      </c>
    </row>
    <row r="2" ht="16" customHeight="1">
      <c r="A2" s="17" t="inlineStr">
        <is>
          <t>PASSRESS MIS   |   Home ▸ RPT_Workflow</t>
        </is>
      </c>
    </row>
    <row r="3" ht="14" customHeight="1">
      <c r="A3" s="3" t="inlineStr">
        <is>
          <t>Sheet Documentation  (use the  +  outline control at left to expand)</t>
        </is>
      </c>
    </row>
    <row r="4" hidden="1" outlineLevel="1" ht="13" customHeight="1">
      <c r="A4" s="4" t="inlineStr">
        <is>
          <t>Purpose</t>
        </is>
      </c>
      <c r="B4" s="5" t="inlineStr">
        <is>
          <t>Operational workflow view: purchasing pipeline, order fulfillment status, supplier standing, and cash/expense runway — the day-to-day ops picture, distinct from the financial-statement framing of 08_Finance or the executive framing of the CEO Dashboard.</t>
        </is>
      </c>
    </row>
    <row r="5" hidden="1" outlineLevel="1" ht="13" customHeight="1">
      <c r="A5" s="4" t="inlineStr">
        <is>
          <t>Input tables</t>
        </is>
      </c>
      <c r="B5" s="5" t="inlineStr">
        <is>
          <t>tbl_POHeader/tbl_POLines/tbl_GoodsReceipt (12_Suppliers), tbl_SupplierMaster, RAW_Orders, the Data Model via CUBEVALUE.</t>
        </is>
      </c>
    </row>
    <row r="6" hidden="1" outlineLevel="1" ht="13" customHeight="1">
      <c r="A6" s="4" t="inlineStr">
        <is>
          <t>Output tables</t>
        </is>
      </c>
      <c r="B6" s="5" t="inlineStr">
        <is>
          <t>A single operational dashboard page.</t>
        </is>
      </c>
    </row>
    <row r="7" hidden="1" outlineLevel="1" ht="13" customHeight="1">
      <c r="A7" s="4" t="inlineStr">
        <is>
          <t>Relationships</t>
        </is>
      </c>
      <c r="B7" s="5" t="inlineStr">
        <is>
          <t>No new relationships — reads existing Phase 3 tables and Phase 4/5 measures directly.</t>
        </is>
      </c>
    </row>
    <row r="8" hidden="1" outlineLevel="1" ht="13" customHeight="1">
      <c r="A8" s="4" t="inlineStr">
        <is>
          <t>Future data source</t>
        </is>
      </c>
      <c r="B8" s="5" t="inlineStr">
        <is>
          <t>Already live: resolves for real once Power Query (Phase 2) and the Data Model (Phase 4) are wired.</t>
        </is>
      </c>
    </row>
    <row r="9" hidden="1" outlineLevel="1"/>
    <row r="10" ht="6" customHeight="1"/>
    <row r="11" ht="18" customHeight="1">
      <c r="B11" s="42" t="inlineStr">
        <is>
          <t>Metric</t>
        </is>
      </c>
      <c r="C11" s="42" t="inlineStr">
        <is>
          <t>Value</t>
        </is>
      </c>
      <c r="D11" s="42" t="inlineStr">
        <is>
          <t>Notes</t>
        </is>
      </c>
    </row>
    <row r="12">
      <c r="B12" s="30" t="n"/>
      <c r="C12" s="30" t="n"/>
      <c r="D12" s="30" t="n"/>
    </row>
    <row r="14">
      <c r="B14" s="11" t="inlineStr">
        <is>
          <t>PURCHASING &amp; RECEIVING</t>
        </is>
      </c>
    </row>
    <row r="15">
      <c r="B15" s="24" t="inlineStr">
        <is>
          <t>Purchase Orders (Total)</t>
        </is>
      </c>
      <c r="C15" s="45">
        <f>COUNTA(tbl_POHeader[PO Number])</f>
        <v/>
      </c>
      <c r="D15" s="20" t="inlineStr">
        <is>
          <t>All POs ever entered, any status.</t>
        </is>
      </c>
    </row>
    <row r="16">
      <c r="B16" s="24" t="inlineStr">
        <is>
          <t>Open Orders</t>
        </is>
      </c>
      <c r="C16" s="45">
        <f>COUNTIFS(RAW_Orders[FulfillmentStatus],"&lt;&gt;FULFILLED")</f>
        <v/>
      </c>
      <c r="D16" s="20" t="inlineStr">
        <is>
          <t>Shopify orders not yet fully fulfilled.</t>
        </is>
      </c>
    </row>
    <row r="17">
      <c r="B17" s="24" t="inlineStr">
        <is>
          <t>Pending Receipts</t>
        </is>
      </c>
      <c r="C17" s="45">
        <f>COUNTIFS(tbl_POHeader[Status],"Approved")+COUNTIFS(tbl_POHeader[Status],"Sent")+COUNTIFS(tbl_POHeader[Status],"Partially Received")</f>
        <v/>
      </c>
      <c r="D17" s="20" t="inlineStr">
        <is>
          <t>POs Approved, Sent, or Partially Received — not yet fully in hand.</t>
        </is>
      </c>
    </row>
    <row r="18">
      <c r="B18" s="24" t="inlineStr">
        <is>
          <t>Inventory to Receive (units)</t>
        </is>
      </c>
      <c r="C18" s="45">
        <f>SUM(tbl_GoodsReceipt[Remaining Quantity])</f>
        <v/>
      </c>
      <c r="D18" s="20" t="inlineStr">
        <is>
          <t>Reuses Phase 3's own Remaining Quantity column (12_Suppliers) — not recomputed here.</t>
        </is>
      </c>
    </row>
    <row r="19">
      <c r="B19" s="24" t="inlineStr">
        <is>
          <t>Monthly Purchasing (this month)</t>
        </is>
      </c>
      <c r="C19" s="45">
        <f>CUBEVALUE("ThisWorkbookDataModel","[Measures].[Cash Paid for Purchases]")</f>
        <v/>
      </c>
      <c r="D19" s="20" t="inlineStr">
        <is>
          <t>Current-period Cash Paid for Purchases (dax/MEASURES.md).</t>
        </is>
      </c>
    </row>
    <row r="22">
      <c r="B22" s="11" t="inlineStr">
        <is>
          <t>SUPPLIER STATUS</t>
        </is>
      </c>
    </row>
    <row r="23">
      <c r="B23" s="24" t="inlineStr">
        <is>
          <t>Active</t>
        </is>
      </c>
      <c r="C23" s="45">
        <f>COUNTIFS(tbl_SupplierMaster[Status],"Active")</f>
        <v/>
      </c>
    </row>
    <row r="24">
      <c r="B24" s="24" t="inlineStr">
        <is>
          <t>Inactive</t>
        </is>
      </c>
      <c r="C24" s="45">
        <f>COUNTIFS(tbl_SupplierMaster[Status],"Inactive")</f>
        <v/>
      </c>
    </row>
    <row r="25">
      <c r="B25" s="24" t="inlineStr">
        <is>
          <t>On Hold</t>
        </is>
      </c>
      <c r="C25" s="45">
        <f>COUNTIFS(tbl_SupplierMaster[Status],"On Hold")</f>
        <v/>
      </c>
    </row>
    <row r="28">
      <c r="B28" s="11" t="inlineStr">
        <is>
          <t>CASH &amp; EXPENSES</t>
        </is>
      </c>
    </row>
    <row r="29">
      <c r="B29" s="24" t="inlineStr">
        <is>
          <t>Capital Remaining</t>
        </is>
      </c>
      <c r="C29" s="45">
        <f>CUBEVALUE("ThisWorkbookDataModel","[Measures].[Cash Position (Direct, Cumulative)]")</f>
        <v/>
      </c>
      <c r="D29" s="20" t="inlineStr">
        <is>
          <t>Same figure as Cash Position elsewhere — "remaining" is a workflow-page label, not a different calculation.</t>
        </is>
      </c>
    </row>
    <row r="30">
      <c r="B30" s="24" t="inlineStr">
        <is>
          <t>Outstanding Expenses</t>
        </is>
      </c>
      <c r="C30" s="45">
        <f>CUBEVALUE("ThisWorkbookDataModel","[Measures].[Accounts Payable (Proxy)]")</f>
        <v/>
      </c>
      <c r="D30" s="20" t="inlineStr">
        <is>
          <t>Reuses the Balance Sheet's Accounts Payable proxy (dax/MEASURES.md §2) — same documented limitation applies (no payment-status field exists).</t>
        </is>
      </c>
    </row>
    <row r="33">
      <c r="B33" s="11" t="inlineStr">
        <is>
          <t>MONTHLY PURCHASING — TRAILING 12 MONTHS</t>
        </is>
      </c>
    </row>
    <row r="34">
      <c r="B34" s="13" t="inlineStr">
        <is>
          <t>Monthly Purchasing</t>
        </is>
      </c>
    </row>
    <row r="35">
      <c r="C35" s="21">
        <f>TEXT(EDATE(TODAY(),-11),"mmm-yy")</f>
        <v/>
      </c>
      <c r="D35" s="21">
        <f>TEXT(EDATE(TODAY(),-10),"mmm-yy")</f>
        <v/>
      </c>
      <c r="E35" s="21">
        <f>TEXT(EDATE(TODAY(),-9),"mmm-yy")</f>
        <v/>
      </c>
      <c r="F35" s="21">
        <f>TEXT(EDATE(TODAY(),-8),"mmm-yy")</f>
        <v/>
      </c>
      <c r="G35" s="21">
        <f>TEXT(EDATE(TODAY(),-7),"mmm-yy")</f>
        <v/>
      </c>
      <c r="H35" s="21">
        <f>TEXT(EDATE(TODAY(),-6),"mmm-yy")</f>
        <v/>
      </c>
      <c r="I35" s="21">
        <f>TEXT(EDATE(TODAY(),-5),"mmm-yy")</f>
        <v/>
      </c>
      <c r="J35" s="21">
        <f>TEXT(EDATE(TODAY(),-4),"mmm-yy")</f>
        <v/>
      </c>
      <c r="K35" s="21">
        <f>TEXT(EDATE(TODAY(),-3),"mmm-yy")</f>
        <v/>
      </c>
      <c r="L35" s="21">
        <f>TEXT(EDATE(TODAY(),-2),"mmm-yy")</f>
        <v/>
      </c>
      <c r="M35" s="21">
        <f>TEXT(EDATE(TODAY(),-1),"mmm-yy")</f>
        <v/>
      </c>
      <c r="N35" s="21">
        <f>TEXT(EDATE(TODAY(),0),"mmm-yy")</f>
        <v/>
      </c>
    </row>
    <row r="36">
      <c r="C36" s="22">
        <f>CUBEVALUE("ThisWorkbookDataModel","[Measures].[Cash Paid for Purchases]","[DIM_Date].[Year].&amp;["&amp;YEAR(EDATE(TODAY(),-11))&amp;"]","[DIM_Date].[Month].&amp;["&amp;MONTH(EDATE(TODAY(),-11))&amp;"]")</f>
        <v/>
      </c>
      <c r="D36" s="22">
        <f>CUBEVALUE("ThisWorkbookDataModel","[Measures].[Cash Paid for Purchases]","[DIM_Date].[Year].&amp;["&amp;YEAR(EDATE(TODAY(),-10))&amp;"]","[DIM_Date].[Month].&amp;["&amp;MONTH(EDATE(TODAY(),-10))&amp;"]")</f>
        <v/>
      </c>
      <c r="E36" s="22">
        <f>CUBEVALUE("ThisWorkbookDataModel","[Measures].[Cash Paid for Purchases]","[DIM_Date].[Year].&amp;["&amp;YEAR(EDATE(TODAY(),-9))&amp;"]","[DIM_Date].[Month].&amp;["&amp;MONTH(EDATE(TODAY(),-9))&amp;"]")</f>
        <v/>
      </c>
      <c r="F36" s="22">
        <f>CUBEVALUE("ThisWorkbookDataModel","[Measures].[Cash Paid for Purchases]","[DIM_Date].[Year].&amp;["&amp;YEAR(EDATE(TODAY(),-8))&amp;"]","[DIM_Date].[Month].&amp;["&amp;MONTH(EDATE(TODAY(),-8))&amp;"]")</f>
        <v/>
      </c>
      <c r="G36" s="22">
        <f>CUBEVALUE("ThisWorkbookDataModel","[Measures].[Cash Paid for Purchases]","[DIM_Date].[Year].&amp;["&amp;YEAR(EDATE(TODAY(),-7))&amp;"]","[DIM_Date].[Month].&amp;["&amp;MONTH(EDATE(TODAY(),-7))&amp;"]")</f>
        <v/>
      </c>
      <c r="H36" s="22">
        <f>CUBEVALUE("ThisWorkbookDataModel","[Measures].[Cash Paid for Purchases]","[DIM_Date].[Year].&amp;["&amp;YEAR(EDATE(TODAY(),-6))&amp;"]","[DIM_Date].[Month].&amp;["&amp;MONTH(EDATE(TODAY(),-6))&amp;"]")</f>
        <v/>
      </c>
      <c r="I36" s="22">
        <f>CUBEVALUE("ThisWorkbookDataModel","[Measures].[Cash Paid for Purchases]","[DIM_Date].[Year].&amp;["&amp;YEAR(EDATE(TODAY(),-5))&amp;"]","[DIM_Date].[Month].&amp;["&amp;MONTH(EDATE(TODAY(),-5))&amp;"]")</f>
        <v/>
      </c>
      <c r="J36" s="22">
        <f>CUBEVALUE("ThisWorkbookDataModel","[Measures].[Cash Paid for Purchases]","[DIM_Date].[Year].&amp;["&amp;YEAR(EDATE(TODAY(),-4))&amp;"]","[DIM_Date].[Month].&amp;["&amp;MONTH(EDATE(TODAY(),-4))&amp;"]")</f>
        <v/>
      </c>
      <c r="K36" s="22">
        <f>CUBEVALUE("ThisWorkbookDataModel","[Measures].[Cash Paid for Purchases]","[DIM_Date].[Year].&amp;["&amp;YEAR(EDATE(TODAY(),-3))&amp;"]","[DIM_Date].[Month].&amp;["&amp;MONTH(EDATE(TODAY(),-3))&amp;"]")</f>
        <v/>
      </c>
      <c r="L36" s="22">
        <f>CUBEVALUE("ThisWorkbookDataModel","[Measures].[Cash Paid for Purchases]","[DIM_Date].[Year].&amp;["&amp;YEAR(EDATE(TODAY(),-2))&amp;"]","[DIM_Date].[Month].&amp;["&amp;MONTH(EDATE(TODAY(),-2))&amp;"]")</f>
        <v/>
      </c>
      <c r="M36" s="22">
        <f>CUBEVALUE("ThisWorkbookDataModel","[Measures].[Cash Paid for Purchases]","[DIM_Date].[Year].&amp;["&amp;YEAR(EDATE(TODAY(),-1))&amp;"]","[DIM_Date].[Month].&amp;["&amp;MONTH(EDATE(TODAY(),-1))&amp;"]")</f>
        <v/>
      </c>
      <c r="N36" s="22">
        <f>CUBEVALUE("ThisWorkbookDataModel","[Measures].[Cash Paid for Purchases]","[DIM_Date].[Year].&amp;["&amp;YEAR(EDATE(TODAY(),0))&amp;"]","[DIM_Date].[Month].&amp;["&amp;MONTH(EDATE(TODAY(),0))&amp;"]")</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3" right="0.3" top="0.4" bottom="0.4"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2026-07-26T11:35:13Z</dcterms:created>
  <dcterms:modified xsi:type="dcterms:W3CDTF">2026-07-26T11:35:14Z</dcterms:modified>
</cp:coreProperties>
</file>