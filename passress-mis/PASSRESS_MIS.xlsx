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worksheets/sheet16.xml" ContentType="application/vnd.openxmlformats-officedocument.spreadsheetml.worksheet+xml"/>
  <Override PartName="/xl/tables/table31.xml" ContentType="application/vnd.openxmlformats-officedocument.spreadsheetml.table+xml"/>
  <Override PartName="/xl/worksheets/sheet17.xml" ContentType="application/vnd.openxmlformats-officedocument.spreadsheetml.worksheet+xml"/>
  <Override PartName="/xl/tables/table32.xml" ContentType="application/vnd.openxmlformats-officedocument.spreadsheetml.table+xml"/>
  <Override PartName="/xl/worksheets/sheet18.xml" ContentType="application/vnd.openxmlformats-officedocument.spreadsheetml.worksheet+xml"/>
  <Override PartName="/xl/tables/table33.xml" ContentType="application/vnd.openxmlformats-officedocument.spreadsheetml.table+xml"/>
  <Override PartName="/xl/worksheets/sheet19.xml" ContentType="application/vnd.openxmlformats-officedocument.spreadsheetml.worksheet+xml"/>
  <Override PartName="/xl/tables/table34.xml" ContentType="application/vnd.openxmlformats-officedocument.spreadsheetml.table+xml"/>
  <Override PartName="/xl/worksheets/sheet20.xml" ContentType="application/vnd.openxmlformats-officedocument.spreadsheetml.worksheet+xml"/>
  <Override PartName="/xl/tables/table35.xml" ContentType="application/vnd.openxmlformats-officedocument.spreadsheetml.table+xml"/>
  <Override PartName="/xl/worksheets/sheet21.xml" ContentType="application/vnd.openxmlformats-officedocument.spreadsheetml.worksheet+xml"/>
  <Override PartName="/xl/tables/table36.xml" ContentType="application/vnd.openxmlformats-officedocument.spreadsheetml.table+xml"/>
  <Override PartName="/xl/worksheets/sheet22.xml" ContentType="application/vnd.openxmlformats-officedocument.spreadsheetml.worksheet+xml"/>
  <Override PartName="/xl/tables/table37.xml" ContentType="application/vnd.openxmlformats-officedocument.spreadsheetml.table+xml"/>
  <Override PartName="/xl/worksheets/sheet23.xml" ContentType="application/vnd.openxmlformats-officedocument.spreadsheetml.worksheet+xml"/>
  <Override PartName="/xl/tables/table38.xml" ContentType="application/vnd.openxmlformats-officedocument.spreadsheetml.table+xml"/>
  <Override PartName="/xl/worksheets/sheet24.xml" ContentType="application/vnd.openxmlformats-officedocument.spreadsheetml.worksheet+xml"/>
  <Override PartName="/xl/tables/table39.xml" ContentType="application/vnd.openxmlformats-officedocument.spreadsheetml.table+xml"/>
  <Override PartName="/xl/worksheets/sheet25.xml" ContentType="application/vnd.openxmlformats-officedocument.spreadsheetml.worksheet+xml"/>
  <Override PartName="/xl/tables/table40.xml" ContentType="application/vnd.openxmlformats-officedocument.spreadsheetml.table+xml"/>
  <Override PartName="/xl/worksheets/sheet26.xml" ContentType="application/vnd.openxmlformats-officedocument.spreadsheetml.worksheet+xml"/>
  <Override PartName="/xl/tables/table41.xml" ContentType="application/vnd.openxmlformats-officedocument.spreadsheetml.table+xml"/>
  <Override PartName="/xl/worksheets/sheet27.xml" ContentType="application/vnd.openxmlformats-officedocument.spreadsheetml.worksheet+xml"/>
  <Override PartName="/xl/tables/table42.xml" ContentType="application/vnd.openxmlformats-officedocument.spreadsheetml.table+xml"/>
  <Override PartName="/xl/worksheets/sheet28.xml" ContentType="application/vnd.openxmlformats-officedocument.spreadsheetml.worksheet+xml"/>
  <Override PartName="/xl/tables/table43.xml" ContentType="application/vnd.openxmlformats-officedocument.spreadsheetml.table+xml"/>
  <Override PartName="/xl/worksheets/sheet29.xml" ContentType="application/vnd.openxmlformats-officedocument.spreadsheetml.worksheet+xml"/>
  <Override PartName="/xl/tables/table44.xml" ContentType="application/vnd.openxmlformats-officedocument.spreadsheetml.table+xml"/>
  <Override PartName="/xl/worksheets/sheet30.xml" ContentType="application/vnd.openxmlformats-officedocument.spreadsheetml.worksheet+xml"/>
  <Override PartName="/xl/tables/table45.xml" ContentType="application/vnd.openxmlformats-officedocument.spreadsheetml.table+xml"/>
  <Override PartName="/xl/worksheets/sheet31.xml" ContentType="application/vnd.openxmlformats-officedocument.spreadsheetml.worksheet+xml"/>
  <Override PartName="/xl/tables/table46.xml" ContentType="application/vnd.openxmlformats-officedocument.spreadsheetml.table+xml"/>
  <Override PartName="/xl/worksheets/sheet32.xml" ContentType="application/vnd.openxmlformats-officedocument.spreadsheetml.worksheet+xml"/>
  <Override PartName="/xl/tables/table47.xml" ContentType="application/vnd.openxmlformats-officedocument.spreadsheetml.table+xml"/>
  <Override PartName="/xl/worksheets/sheet33.xml" ContentType="application/vnd.openxmlformats-officedocument.spreadsheetml.worksheet+xml"/>
  <Override PartName="/xl/tables/table48.xml" ContentType="application/vnd.openxmlformats-officedocument.spreadsheetml.table+xml"/>
  <Override PartName="/xl/worksheets/sheet34.xml" ContentType="application/vnd.openxmlformats-officedocument.spreadsheetml.worksheet+xml"/>
  <Override PartName="/xl/tables/table49.xml" ContentType="application/vnd.openxmlformats-officedocument.spreadsheetml.table+xml"/>
  <Override PartName="/xl/worksheets/sheet35.xml" ContentType="application/vnd.openxmlformats-officedocument.spreadsheetml.worksheet+xml"/>
  <Override PartName="/xl/tables/table50.xml" ContentType="application/vnd.openxmlformats-officedocument.spreadsheetml.table+xml"/>
  <Override PartName="/xl/worksheets/sheet36.xml" ContentType="application/vnd.openxmlformats-officedocument.spreadsheetml.worksheet+xml"/>
  <Override PartName="/xl/tables/table51.xml" ContentType="application/vnd.openxmlformats-officedocument.spreadsheetml.table+xml"/>
  <Override PartName="/xl/worksheets/sheet37.xml" ContentType="application/vnd.openxmlformats-officedocument.spreadsheetml.worksheet+xml"/>
  <Override PartName="/xl/tables/table52.xml" ContentType="application/vnd.openxmlformats-officedocument.spreadsheetml.table+xml"/>
  <Override PartName="/xl/worksheets/sheet38.xml" ContentType="application/vnd.openxmlformats-officedocument.spreadsheetml.worksheet+xml"/>
  <Override PartName="/xl/tables/table53.xml" ContentType="application/vnd.openxmlformats-officedocument.spreadsheetml.table+xml"/>
  <Override PartName="/xl/worksheets/sheet39.xml" ContentType="application/vnd.openxmlformats-officedocument.spreadsheetml.worksheet+xml"/>
  <Override PartName="/xl/tables/table54.xml" ContentType="application/vnd.openxmlformats-officedocument.spreadsheetml.table+xml"/>
  <Override PartName="/xl/worksheets/sheet40.xml" ContentType="application/vnd.openxmlformats-officedocument.spreadsheetml.worksheet+xml"/>
  <Override PartName="/xl/tables/table55.xml" ContentType="application/vnd.openxmlformats-officedocument.spreadsheetml.table+xml"/>
  <Override PartName="/xl/worksheets/sheet41.xml" ContentType="application/vnd.openxmlformats-officedocument.spreadsheetml.worksheet+xml"/>
  <Override PartName="/xl/tables/table56.xml" ContentType="application/vnd.openxmlformats-officedocument.spreadsheetml.table+xml"/>
  <Override PartName="/xl/worksheets/sheet42.xml" ContentType="application/vnd.openxmlformats-officedocument.spreadsheetml.worksheet+xml"/>
  <Override PartName="/xl/tables/table57.xml" ContentType="application/vnd.openxmlformats-officedocument.spreadsheetml.table+xml"/>
  <Override PartName="/xl/worksheets/sheet43.xml" ContentType="application/vnd.openxmlformats-officedocument.spreadsheetml.worksheet+xml"/>
  <Override PartName="/xl/tables/table58.xml" ContentType="application/vnd.openxmlformats-officedocument.spreadsheetml.table+xml"/>
  <Override PartName="/xl/worksheets/sheet44.xml" ContentType="application/vnd.openxmlformats-officedocument.spreadsheetml.worksheet+xml"/>
  <Override PartName="/xl/tables/table59.xml" ContentType="application/vnd.openxmlformats-officedocument.spreadsheetml.table+xml"/>
  <Override PartName="/xl/worksheets/sheet45.xml" ContentType="application/vnd.openxmlformats-officedocument.spreadsheetml.worksheet+xml"/>
  <Override PartName="/xl/tables/table60.xml" ContentType="application/vnd.openxmlformats-officedocument.spreadsheetml.table+xml"/>
  <Override PartName="/xl/worksheets/sheet46.xml" ContentType="application/vnd.openxmlformats-officedocument.spreadsheetml.worksheet+xml"/>
  <Override PartName="/xl/tables/table61.xml" ContentType="application/vnd.openxmlformats-officedocument.spreadsheetml.table+xml"/>
  <Override PartName="/xl/worksheets/sheet47.xml" ContentType="application/vnd.openxmlformats-officedocument.spreadsheetml.worksheet+xml"/>
  <Override PartName="/xl/tables/table62.xml" ContentType="application/vnd.openxmlformats-officedocument.spreadsheetml.table+xml"/>
  <Override PartName="/xl/worksheets/sheet48.xml" ContentType="application/vnd.openxmlformats-officedocument.spreadsheetml.worksheet+xml"/>
  <Override PartName="/xl/tables/table63.xml" ContentType="application/vnd.openxmlformats-officedocument.spreadsheetml.table+xml"/>
  <Override PartName="/xl/worksheets/sheet49.xml" ContentType="application/vnd.openxmlformats-officedocument.spreadsheetml.worksheet+xml"/>
  <Override PartName="/xl/tables/table64.xml" ContentType="application/vnd.openxmlformats-officedocument.spreadsheetml.table+xml"/>
  <Override PartName="/xl/worksheets/sheet50.xml" ContentType="application/vnd.openxmlformats-officedocument.spreadsheetml.worksheet+xml"/>
  <Override PartName="/xl/tables/table65.xml" ContentType="application/vnd.openxmlformats-officedocument.spreadsheetml.table+xml"/>
  <Override PartName="/xl/worksheets/sheet51.xml" ContentType="application/vnd.openxmlformats-officedocument.spreadsheetml.worksheet+xml"/>
  <Override PartName="/xl/tables/table66.xml" ContentType="application/vnd.openxmlformats-officedocument.spreadsheetml.table+xml"/>
  <Override PartName="/xl/worksheets/sheet52.xml" ContentType="application/vnd.openxmlformats-officedocument.spreadsheetml.worksheet+xml"/>
  <Override PartName="/xl/tables/table67.xml" ContentType="application/vnd.openxmlformats-officedocument.spreadsheetml.table+xml"/>
  <Override PartName="/xl/worksheets/sheet53.xml" ContentType="application/vnd.openxmlformats-officedocument.spreadsheetml.worksheet+xml"/>
  <Override PartName="/xl/tables/table68.xml" ContentType="application/vnd.openxmlformats-officedocument.spreadsheetml.table+xml"/>
  <Override PartName="/xl/worksheets/sheet54.xml" ContentType="application/vnd.openxmlformats-officedocument.spreadsheetml.worksheet+xml"/>
  <Override PartName="/xl/tables/table69.xml" ContentType="application/vnd.openxmlformats-officedocument.spreadsheetml.table+xml"/>
  <Override PartName="/xl/worksheets/sheet55.xml" ContentType="application/vnd.openxmlformats-officedocument.spreadsheetml.worksheet+xml"/>
  <Override PartName="/xl/tables/table70.xml" ContentType="application/vnd.openxmlformats-officedocument.spreadsheetml.table+xml"/>
  <Override PartName="/xl/worksheets/sheet56.xml" ContentType="application/vnd.openxmlformats-officedocument.spreadsheetml.worksheet+xml"/>
  <Override PartName="/xl/tables/table71.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drawings/drawing9.xml" ContentType="application/vnd.openxmlformats-officedocument.drawing+xml"/>
  <Override PartName="/xl/tables/table7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24F" lockStructure="1" lockWindows="0"/>
  <bookViews>
    <workbookView visibility="visible" minimized="0" showHorizontalScroll="1" showVerticalScroll="1" showSheetTabs="1" tabRatio="600" firstSheet="0" activeTab="0" autoFilterDateGrouping="1"/>
  </bookViews>
  <sheets>
    <sheet name="01_Home" sheetId="1" state="visible" r:id="rId1"/>
    <sheet name="02_Partner_Dashboard" sheetId="2" state="visible" r:id="rId2"/>
    <sheet name="03_CEO_Dashboard" sheetId="3" state="visible" r:id="rId3"/>
    <sheet name="04_Sales" sheetId="4" state="visible" r:id="rId4"/>
    <sheet name="05_Products" sheetId="5" state="visible" r:id="rId5"/>
    <sheet name="06_Customers" sheetId="6" state="visible" r:id="rId6"/>
    <sheet name="07_Inventory" sheetId="7" state="visible" r:id="rId7"/>
    <sheet name="08_Finance" sheetId="8" state="visible" r:id="rId8"/>
    <sheet name="09_Profitability" sheetId="9" state="visible" r:id="rId9"/>
    <sheet name="10_Expenses" sheetId="10" state="visible" r:id="rId10"/>
    <sheet name="11_Capital" sheetId="11" state="visible" r:id="rId11"/>
    <sheet name="12_Suppliers" sheetId="12" state="visible" r:id="rId12"/>
    <sheet name="13_Marketing" sheetId="13" state="visible" r:id="rId13"/>
    <sheet name="14_Data_Quality" sheetId="14" state="visible" r:id="rId14"/>
    <sheet name="15_Settings" sheetId="15" state="visible" r:id="rId15"/>
    <sheet name="RAW_Orders" sheetId="16" state="hidden" r:id="rId16"/>
    <sheet name="RAW_OrderLines" sheetId="17" state="hidden" r:id="rId17"/>
    <sheet name="RAW_Transactions" sheetId="18" state="hidden" r:id="rId18"/>
    <sheet name="RAW_Refunds" sheetId="19" state="hidden" r:id="rId19"/>
    <sheet name="RAW_Products" sheetId="20" state="hidden" r:id="rId20"/>
    <sheet name="RAW_Variants" sheetId="21" state="hidden" r:id="rId21"/>
    <sheet name="RAW_InventoryLevels" sheetId="22" state="hidden" r:id="rId22"/>
    <sheet name="RAW_Customers" sheetId="23" state="hidden" r:id="rId23"/>
    <sheet name="RAW_Collections" sheetId="24" state="hidden" r:id="rId24"/>
    <sheet name="RAW_Discounts" sheetId="25" state="hidden" r:id="rId25"/>
    <sheet name="DIM_Date" sheetId="26" state="hidden" r:id="rId26"/>
    <sheet name="DIM_Product" sheetId="27" state="hidden" r:id="rId27"/>
    <sheet name="DIM_Customer" sheetId="28" state="hidden" r:id="rId28"/>
    <sheet name="DIM_Location" sheetId="29" state="hidden" r:id="rId29"/>
    <sheet name="DIM_Collection" sheetId="30" state="hidden" r:id="rId30"/>
    <sheet name="DIM_Parameters" sheetId="31" state="hidden" r:id="rId31"/>
    <sheet name="DIM_Supplier" sheetId="32" state="hidden" r:id="rId32"/>
    <sheet name="DIM_ProductCostHistory" sheetId="33" state="hidden" r:id="rId33"/>
    <sheet name="FACT_OrderLines" sheetId="34" state="hidden" r:id="rId34"/>
    <sheet name="FACT_Refunds" sheetId="35" state="hidden" r:id="rId35"/>
    <sheet name="FACT_InventoryMovements" sheetId="36" state="hidden" r:id="rId36"/>
    <sheet name="FACT_Payments" sheetId="37" state="hidden" r:id="rId37"/>
    <sheet name="FACT_ManualExpenses" sheetId="38" state="hidden" r:id="rId38"/>
    <sheet name="FACT_CapitalTransactions" sheetId="39" state="hidden" r:id="rId39"/>
    <sheet name="FACT_PurchaseOrderHeader" sheetId="40" state="hidden" r:id="rId40"/>
    <sheet name="FACT_PurchaseOrderLines" sheetId="41" state="hidden" r:id="rId41"/>
    <sheet name="FACT_GoodsReceipt" sheetId="42" state="hidden" r:id="rId42"/>
    <sheet name="LOG_RefreshHistory" sheetId="43" state="hidden" r:id="rId43"/>
    <sheet name="LOG_DataQuality" sheetId="44" state="hidden" r:id="rId44"/>
    <sheet name="RAW_MetaAds" sheetId="45" state="hidden" r:id="rId45"/>
    <sheet name="RAW_GoogleAnalytics" sheetId="46" state="hidden" r:id="rId46"/>
    <sheet name="RAW_GoogleAds" sheetId="47" state="hidden" r:id="rId47"/>
    <sheet name="RAW_TikTokAds" sheetId="48" state="hidden" r:id="rId48"/>
    <sheet name="RAW_EmailMarketing" sheetId="49" state="hidden" r:id="rId49"/>
    <sheet name="RAW_InfluencerCampaigns" sheetId="50" state="hidden" r:id="rId50"/>
    <sheet name="FACT_MarketingSpend" sheetId="51" state="hidden" r:id="rId51"/>
    <sheet name="FUTURE_AI_Insights" sheetId="52" state="hidden" r:id="rId52"/>
    <sheet name="BI_Insights" sheetId="53" state="hidden" r:id="rId53"/>
    <sheet name="BI_Alerts" sheetId="54" state="hidden" r:id="rId54"/>
    <sheet name="BI_Forecast" sheetId="55" state="hidden" r:id="rId55"/>
    <sheet name="BI_HealthScore" sheetId="56" state="hidden" r:id="rId56"/>
    <sheet name="RPT_ExecutiveBrief" sheetId="57" state="hidden" r:id="rId57"/>
    <sheet name="RPT_Workflow" sheetId="58" state="hidden" r:id="rId58"/>
  </sheets>
  <definedNames>
    <definedName name="FilterDateFrom">'01_Home'!$B$32</definedName>
    <definedName name="FilterDateTo">'01_Home'!$D$32</definedName>
    <definedName name="FilterCollection">'01_Home'!$F$32</definedName>
    <definedName name="FilterSKU">'01_Home'!$H$32</definedName>
    <definedName name="FilterSupplier">'01_Home'!$J$32</definedName>
    <definedName name="FilterLocation">'01_Home'!$L$32</definedName>
    <definedName name="FilterCampaign">'01_Home'!$N$32</definedName>
    <definedName name="OverallDataQualityPct">'14_Data_Quality'!$C$40</definedName>
    <definedName name="SetCompanyName">'15_Settings'!$C$13</definedName>
    <definedName name="SetBaseCurrency">'15_Settings'!$C$14</definedName>
    <definedName name="SetReportingCurrency">'15_Settings'!$C$15</definedName>
    <definedName name="SetFiscalYearStartMonth">'15_Settings'!$C$16</definedName>
    <definedName name="SetDefaultVATRate">'15_Settings'!$C$17</definedName>
    <definedName name="SetTargetGrossMargin">'15_Settings'!$C$18</definedName>
    <definedName name="SetShopifyStoreDomain">'15_Settings'!$C$23</definedName>
    <definedName name="SetShopifyAPIVersion">'15_Settings'!$C$24</definedName>
    <definedName name="SetLookbackDaysIncrementalRefresh">'15_Settings'!$C$25</definedName>
    <definedName name="SetHistoricalBackfillStartDate">'15_Settings'!$C$26</definedName>
    <definedName name="SetMaxPagesPerRefreshSafetyCap">'15_Settings'!$C$27</definedName>
    <definedName name="BusinessHealthScore">'BI_HealthScore'!$C$26</definedName>
    <definedName name="BusinessHealthStatus">'BI_HealthScore'!$C$27</definedName>
    <definedName name="LookupExpenseCategory">=tbl_LookupExpenseCategory[Expense Category]</definedName>
    <definedName name="LookupExpenseSubcategory">=tbl_LookupExpenseSubcategory[Expense Subcategory]</definedName>
    <definedName name="LookupCostCenter">=tbl_LookupCostCenter[Cost Center]</definedName>
    <definedName name="LookupPaymentMethod">=tbl_LookupPaymentMethod[Payment Method]</definedName>
    <definedName name="LookupCurrency">=tbl_LookupCurrency[Currency]</definedName>
    <definedName name="LookupSupplierType">=tbl_LookupSupplierType[Supplier Type]</definedName>
    <definedName name="LookupSupplierStatus">=tbl_LookupSupplierStatus[Supplier Status]</definedName>
    <definedName name="LookupCapitalTransactionType">=tbl_LookupCapitalTransactionType[Capital Transaction Type]</definedName>
    <definedName name="LookupPOStatus">=tbl_LookupPOStatus[PO Status]</definedName>
    <definedName name="LookupWarehouse">=tbl_LookupWarehouse[Warehouse]</definedName>
    <definedName name="LookupOwner">=tbl_LookupOwner[Owner]</definedName>
    <definedName name="LookupBudgetPeriod">=tbl_LookupBudgetPeriod[Budget Period]</definedName>
    <definedName name="LookupBudgetCategory">=tbl_LookupBudgetCategory[Budget Category]</definedName>
    <definedName name="LookupAlertSeverity">=tbl_LookupAlertSeverity[Alert Severity]</definedName>
    <definedName name="SupplierNameList">=tbl_SupplierMaster[Supplier Name]</definedName>
    <definedName name="POHeaderList">=tbl_POHeader[PO Number]</definedName>
    <definedName name="SKUList">=tbl_RAW_Variants[SKU]</definedName>
    <definedName name="CollectionTitleList">=tbl_RAW_Collections[Title]</definedName>
    <definedName name="_xlnm.Print_Area" localSheetId="1">'02_Partner_Dashboard'!$A$1:$L$140</definedName>
    <definedName name="_xlnm.Print_Area" localSheetId="2">'03_CEO_Dashboard'!$A$1:$L$140</definedName>
    <definedName name="_xlnm.Print_Area" localSheetId="56">'RPT_ExecutiveBrief'!$A$1:$J$40</definedName>
    <definedName name="_xlnm.Print_Area" localSheetId="57">'RPT_Workflow'!$A$1:$O$80</definedName>
  </definedNames>
  <calcPr calcId="124519" fullCalcOnLoad="1"/>
</workbook>
</file>

<file path=xl/styles.xml><?xml version="1.0" encoding="utf-8"?>
<styleSheet xmlns="http://schemas.openxmlformats.org/spreadsheetml/2006/main">
  <numFmts count="4">
    <numFmt numFmtId="164" formatCode="0.0%"/>
    <numFmt numFmtId="165" formatCode="0&quot; days&quot;"/>
    <numFmt numFmtId="166" formatCode="0.0"/>
    <numFmt numFmtId="167" formatCode="+#,##0;-#,##0;0"/>
  </numFmts>
  <fonts count="36">
    <font>
      <name val="Calibri"/>
      <family val="2"/>
      <color theme="1"/>
      <sz val="11"/>
      <scheme val="minor"/>
    </font>
    <font>
      <name val="Segoe UI"/>
      <b val="1"/>
      <color rgb="00FFFFFF"/>
      <sz val="18"/>
    </font>
    <font>
      <name val="Segoe UI"/>
      <i val="1"/>
      <color rgb="00FFFFFF"/>
      <sz val="9"/>
    </font>
    <font>
      <name val="Segoe UI"/>
      <b val="1"/>
      <i val="1"/>
      <color rgb="00595959"/>
      <sz val="8"/>
    </font>
    <font>
      <name val="Segoe UI"/>
      <b val="1"/>
      <color rgb="00595959"/>
      <sz val="8"/>
    </font>
    <font>
      <name val="Segoe UI"/>
      <i val="1"/>
      <color rgb="00595959"/>
      <sz val="8"/>
    </font>
    <font>
      <name val="Segoe UI"/>
      <b val="1"/>
      <color rgb="00D9D9D9"/>
      <sz val="8"/>
    </font>
    <font>
      <name val="Segoe UI"/>
      <b val="1"/>
      <color rgb="00FFFFFF"/>
      <sz val="20"/>
    </font>
    <font>
      <name val="Segoe UI"/>
      <b val="1"/>
      <color rgb="00FFFFFF"/>
      <sz val="13"/>
    </font>
    <font>
      <name val="Segoe UI"/>
      <b val="1"/>
      <color rgb="00595959"/>
      <sz val="10"/>
    </font>
    <font>
      <name val="Segoe UI"/>
      <b val="1"/>
      <color rgb="00FFFFFF"/>
      <sz val="11"/>
    </font>
    <font>
      <name val="Segoe UI"/>
      <b val="1"/>
      <color rgb="00C55A11"/>
      <sz val="9"/>
    </font>
    <font>
      <name val="Segoe UI"/>
      <color rgb="00595959"/>
      <sz val="10"/>
    </font>
    <font>
      <name val="Segoe UI"/>
      <i val="1"/>
      <color rgb="00595959"/>
      <sz val="9"/>
    </font>
    <font>
      <name val="Segoe UI"/>
      <color rgb="00595959"/>
      <sz val="8"/>
    </font>
    <font>
      <name val="Segoe UI"/>
      <color rgb="007F7F7F"/>
      <sz val="8"/>
    </font>
    <font>
      <name val="Segoe UI"/>
      <b val="1"/>
      <color rgb="00FFFFFF"/>
      <sz val="8"/>
    </font>
    <font>
      <name val="Segoe UI"/>
      <color rgb="00D9D9D9"/>
      <sz val="7"/>
    </font>
    <font>
      <name val="Segoe UI"/>
      <color rgb="007F7F7F"/>
      <sz val="9"/>
    </font>
    <font>
      <name val="Segoe UI"/>
      <b val="1"/>
      <color rgb="00595959"/>
      <sz val="9"/>
    </font>
    <font>
      <name val="Segoe UI"/>
      <b val="1"/>
      <color rgb="007F7F7F"/>
      <sz val="9"/>
    </font>
    <font>
      <name val="Segoe UI"/>
      <color rgb="00595959"/>
      <sz val="9"/>
    </font>
    <font>
      <name val="Segoe UI"/>
      <b val="1"/>
      <color rgb="00FFFFFF"/>
      <sz val="9"/>
    </font>
    <font>
      <name val="Segoe UI"/>
      <b val="1"/>
      <color rgb="00000000"/>
      <sz val="12"/>
    </font>
    <font>
      <name val="Segoe UI"/>
      <i val="1"/>
      <color rgb="00008000"/>
      <sz val="9"/>
    </font>
    <font>
      <name val="Segoe UI"/>
      <i val="1"/>
      <color rgb="00C55A11"/>
      <sz val="9"/>
    </font>
    <font>
      <name val="Segoe UI"/>
      <b val="1"/>
      <color rgb="007F7F7F"/>
      <sz val="14"/>
    </font>
    <font>
      <name val="Segoe UI"/>
      <color rgb="00C55A11"/>
      <sz val="9"/>
    </font>
    <font>
      <name val="Segoe UI"/>
      <color rgb="00008000"/>
      <sz val="9"/>
    </font>
    <font>
      <name val="Segoe UI"/>
      <color rgb="000070C0"/>
      <sz val="9"/>
    </font>
    <font>
      <name val="Segoe UI"/>
      <i val="1"/>
      <color rgb="007F7F7F"/>
      <sz val="9"/>
    </font>
    <font>
      <name val="Segoe UI"/>
      <b val="1"/>
      <color rgb="00000000"/>
      <sz val="20"/>
    </font>
    <font>
      <name val="Segoe UI"/>
      <b val="1"/>
      <color rgb="007F7F7F"/>
      <sz val="11"/>
    </font>
    <font>
      <name val="Segoe UI"/>
      <b val="1"/>
      <color rgb="00FFFFFF"/>
      <sz val="14"/>
    </font>
    <font>
      <name val="Segoe UI"/>
      <color rgb="007F7F7F"/>
      <sz val="10"/>
    </font>
    <font>
      <name val="Segoe UI"/>
      <b val="1"/>
      <color rgb="00000000"/>
      <sz val="24"/>
    </font>
  </fonts>
  <fills count="13">
    <fill>
      <patternFill/>
    </fill>
    <fill>
      <patternFill patternType="gray125"/>
    </fill>
    <fill>
      <patternFill patternType="solid"/>
    </fill>
    <fill>
      <patternFill patternType="solid">
        <fgColor rgb="00404040"/>
      </patternFill>
    </fill>
    <fill>
      <patternFill patternType="solid">
        <fgColor rgb="00FFFFFF"/>
      </patternFill>
    </fill>
    <fill>
      <patternFill patternType="solid">
        <fgColor rgb="00FCEEE3"/>
      </patternFill>
    </fill>
    <fill>
      <patternFill patternType="solid">
        <fgColor rgb="00F2F2F2"/>
      </patternFill>
    </fill>
    <fill>
      <patternFill patternType="solid">
        <fgColor rgb="00595959"/>
      </patternFill>
    </fill>
    <fill>
      <patternFill patternType="solid">
        <fgColor rgb="00375623"/>
      </patternFill>
    </fill>
    <fill>
      <patternFill patternType="solid">
        <fgColor rgb="00EAF3EA"/>
      </patternFill>
    </fill>
    <fill>
      <patternFill patternType="solid">
        <fgColor rgb="00C55A11"/>
      </patternFill>
    </fill>
    <fill>
      <patternFill patternType="solid">
        <fgColor rgb="001F4E78"/>
      </patternFill>
    </fill>
    <fill>
      <patternFill patternType="solid">
        <fgColor rgb="00EAF1F8"/>
      </patternFill>
    </fill>
  </fills>
  <borders count="3">
    <border>
      <left/>
      <right/>
      <top/>
      <bottom/>
      <diagonal/>
    </border>
    <border>
      <left style="thin">
        <color rgb="00BFBFBF"/>
      </left>
      <right style="thin">
        <color rgb="00BFBFBF"/>
      </right>
      <top style="thin">
        <color rgb="00BFBFBF"/>
      </top>
      <bottom style="thin">
        <color rgb="00BFBFBF"/>
      </bottom>
    </border>
    <border>
      <left style="dashed">
        <color rgb="00BFBFBF"/>
      </left>
      <right style="dashed">
        <color rgb="00BFBFBF"/>
      </right>
      <top style="dashed">
        <color rgb="00BFBFBF"/>
      </top>
      <bottom style="dashed">
        <color rgb="00BFBFBF"/>
      </bottom>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3" borderId="0" applyAlignment="1" pivotButton="0" quotePrefix="0" xfId="0">
      <alignment horizontal="left" vertical="bottom" indent="1"/>
    </xf>
    <xf numFmtId="0" fontId="0" fillId="3" borderId="0" pivotButton="0" quotePrefix="0" xfId="0"/>
    <xf numFmtId="0" fontId="8" fillId="3" borderId="0" applyAlignment="1" pivotButton="0" quotePrefix="0" xfId="0">
      <alignment horizontal="left" vertical="center" indent="1"/>
    </xf>
    <xf numFmtId="0" fontId="7" fillId="3" borderId="0" applyAlignment="1" pivotButton="0" quotePrefix="0" xfId="0">
      <alignment horizontal="left" vertical="center" indent="1"/>
    </xf>
    <xf numFmtId="0" fontId="8" fillId="3" borderId="0" applyAlignment="1" pivotButton="0" quotePrefix="0" xfId="0">
      <alignment horizontal="left" vertical="center" wrapText="1" indent="1"/>
    </xf>
    <xf numFmtId="0" fontId="9" fillId="0" borderId="0" pivotButton="0" quotePrefix="0" xfId="0"/>
    <xf numFmtId="0" fontId="10" fillId="3" borderId="0" applyAlignment="1" pivotButton="0" quotePrefix="0" xfId="0">
      <alignment horizontal="center" vertical="center" wrapText="1"/>
    </xf>
    <xf numFmtId="0" fontId="4" fillId="0" borderId="0" pivotButton="0" quotePrefix="0" xfId="0"/>
    <xf numFmtId="0" fontId="11" fillId="5" borderId="1" applyProtection="1" pivotButton="0" quotePrefix="0" xfId="0">
      <protection locked="0" hidden="0"/>
    </xf>
    <xf numFmtId="0" fontId="12" fillId="0" borderId="0" pivotButton="0" quotePrefix="0" xfId="0"/>
    <xf numFmtId="0" fontId="13" fillId="0" borderId="0" pivotButton="0" quotePrefix="0" xfId="0"/>
    <xf numFmtId="0" fontId="13" fillId="6" borderId="0" applyAlignment="1" pivotButton="0" quotePrefix="0" xfId="0">
      <alignment horizontal="left" vertical="center" indent="1"/>
    </xf>
    <xf numFmtId="3" fontId="7" fillId="3" borderId="0" applyAlignment="1" pivotButton="0" quotePrefix="0" xfId="0">
      <alignment horizontal="left" vertical="center" indent="1"/>
    </xf>
    <xf numFmtId="164" fontId="7" fillId="3" borderId="0" applyAlignment="1" pivotButton="0" quotePrefix="0" xfId="0">
      <alignment horizontal="left" vertical="center" indent="1"/>
    </xf>
    <xf numFmtId="0" fontId="5" fillId="0" borderId="0" pivotButton="0" quotePrefix="0" xfId="0"/>
    <xf numFmtId="49" fontId="14" fillId="0" borderId="0" pivotButton="0" quotePrefix="0" xfId="0"/>
    <xf numFmtId="3" fontId="15" fillId="0" borderId="0" pivotButton="0" quotePrefix="0" xfId="0"/>
    <xf numFmtId="0" fontId="17" fillId="0" borderId="0" pivotButton="0" quotePrefix="0" xfId="0"/>
    <xf numFmtId="0" fontId="18" fillId="0" borderId="0" pivotButton="0" quotePrefix="0" xfId="0"/>
    <xf numFmtId="3" fontId="18" fillId="0" borderId="0" pivotButton="0" quotePrefix="0" xfId="0"/>
    <xf numFmtId="0" fontId="21" fillId="0" borderId="0" applyAlignment="1" pivotButton="0" quotePrefix="0" xfId="0">
      <alignment vertical="top" wrapText="1"/>
    </xf>
    <xf numFmtId="2" fontId="7" fillId="3" borderId="0" applyAlignment="1" pivotButton="0" quotePrefix="0" xfId="0">
      <alignment horizontal="left" vertical="center" indent="1"/>
    </xf>
    <xf numFmtId="1" fontId="7" fillId="3" borderId="0" applyAlignment="1" pivotButton="0" quotePrefix="0" xfId="0">
      <alignment horizontal="left" vertical="center" indent="1"/>
    </xf>
    <xf numFmtId="0" fontId="22" fillId="7" borderId="1" pivotButton="0" quotePrefix="0" xfId="0"/>
    <xf numFmtId="0" fontId="18" fillId="6" borderId="1" pivotButton="0" quotePrefix="0" xfId="0"/>
    <xf numFmtId="3" fontId="18" fillId="6" borderId="1" pivotButton="0" quotePrefix="0" xfId="0"/>
    <xf numFmtId="0" fontId="16" fillId="7" borderId="0" pivotButton="0" quotePrefix="0" xfId="0"/>
    <xf numFmtId="0" fontId="5" fillId="6" borderId="2" applyAlignment="1" pivotButton="0" quotePrefix="0" xfId="0">
      <alignment horizontal="center" vertical="center" wrapText="1"/>
    </xf>
    <xf numFmtId="0" fontId="0" fillId="6" borderId="2" pivotButton="0" quotePrefix="0" xfId="0"/>
    <xf numFmtId="49" fontId="8" fillId="3" borderId="0" applyAlignment="1" pivotButton="0" quotePrefix="0" xfId="0">
      <alignment horizontal="left" vertical="center" indent="1"/>
    </xf>
    <xf numFmtId="164" fontId="18" fillId="0" borderId="0" pivotButton="0" quotePrefix="0" xfId="0"/>
    <xf numFmtId="0" fontId="19" fillId="0" borderId="0" pivotButton="0" quotePrefix="0" xfId="0"/>
    <xf numFmtId="0" fontId="23" fillId="0" borderId="0" pivotButton="0" quotePrefix="0" xfId="0"/>
    <xf numFmtId="0" fontId="22" fillId="8" borderId="1" applyAlignment="1" pivotButton="0" quotePrefix="0" xfId="0">
      <alignment horizontal="left" vertical="center" wrapText="1"/>
    </xf>
    <xf numFmtId="0" fontId="24" fillId="9" borderId="1" applyProtection="1" pivotButton="0" quotePrefix="0" xfId="0">
      <protection locked="0" hidden="0"/>
    </xf>
    <xf numFmtId="4" fontId="18" fillId="6" borderId="1" pivotButton="0" quotePrefix="0" xfId="0"/>
    <xf numFmtId="164" fontId="18" fillId="6" borderId="1" pivotButton="0" quotePrefix="0" xfId="0"/>
    <xf numFmtId="0" fontId="14" fillId="0" borderId="0" pivotButton="0" quotePrefix="0" xfId="0"/>
    <xf numFmtId="3" fontId="20" fillId="0" borderId="0" pivotButton="0" quotePrefix="0" xfId="0"/>
    <xf numFmtId="164" fontId="20" fillId="0" borderId="0" pivotButton="0" quotePrefix="0" xfId="0"/>
    <xf numFmtId="164" fontId="15" fillId="0" borderId="0" pivotButton="0" quotePrefix="0" xfId="0"/>
    <xf numFmtId="165" fontId="7" fillId="3" borderId="0" applyAlignment="1" pivotButton="0" quotePrefix="0" xfId="0">
      <alignment horizontal="left" vertical="center" indent="1"/>
    </xf>
    <xf numFmtId="0" fontId="22" fillId="10" borderId="1" applyAlignment="1" pivotButton="0" quotePrefix="0" xfId="0">
      <alignment horizontal="left" vertical="center" wrapText="1"/>
    </xf>
    <xf numFmtId="0" fontId="25" fillId="5" borderId="1" pivotButton="0" quotePrefix="0" xfId="0"/>
    <xf numFmtId="0" fontId="22" fillId="7" borderId="1" applyAlignment="1" pivotButton="0" quotePrefix="0" xfId="0">
      <alignment horizontal="left" vertical="center" wrapText="1"/>
    </xf>
    <xf numFmtId="0" fontId="5" fillId="6" borderId="1" pivotButton="0" quotePrefix="0" xfId="0"/>
    <xf numFmtId="0" fontId="20" fillId="6" borderId="1" pivotButton="0" quotePrefix="0" xfId="0"/>
    <xf numFmtId="0" fontId="20" fillId="0" borderId="0" pivotButton="0" quotePrefix="0" xfId="0"/>
    <xf numFmtId="164" fontId="26" fillId="0" borderId="0" pivotButton="0" quotePrefix="0" xfId="0"/>
    <xf numFmtId="0" fontId="22" fillId="10" borderId="1" pivotButton="0" quotePrefix="0" xfId="0"/>
    <xf numFmtId="0" fontId="21" fillId="6" borderId="1" pivotButton="0" quotePrefix="0" xfId="0"/>
    <xf numFmtId="0" fontId="27" fillId="5" borderId="1" applyProtection="1" pivotButton="0" quotePrefix="0" xfId="0">
      <protection locked="0" hidden="0"/>
    </xf>
    <xf numFmtId="0" fontId="28" fillId="9" borderId="1" applyProtection="1" pivotButton="0" quotePrefix="0" xfId="0">
      <protection locked="0" hidden="0"/>
    </xf>
    <xf numFmtId="0" fontId="22" fillId="11" borderId="1" applyAlignment="1" pivotButton="0" quotePrefix="0" xfId="0">
      <alignment horizontal="left" vertical="center" wrapText="1"/>
    </xf>
    <xf numFmtId="0" fontId="29" fillId="12" borderId="1" pivotButton="0" quotePrefix="0" xfId="0"/>
    <xf numFmtId="0" fontId="30" fillId="6" borderId="1" pivotButton="0" quotePrefix="0" xfId="0"/>
    <xf numFmtId="0" fontId="18" fillId="0" borderId="0" applyAlignment="1" pivotButton="0" quotePrefix="0" xfId="0">
      <alignment wrapText="1"/>
    </xf>
    <xf numFmtId="166" fontId="20" fillId="0" borderId="0" pivotButton="0" quotePrefix="0" xfId="0"/>
    <xf numFmtId="166" fontId="18" fillId="0" borderId="0" pivotButton="0" quotePrefix="0" xfId="0"/>
    <xf numFmtId="166" fontId="31" fillId="0" borderId="0" pivotButton="0" quotePrefix="0" xfId="0"/>
    <xf numFmtId="0" fontId="32" fillId="0" borderId="0" pivotButton="0" quotePrefix="0" xfId="0"/>
    <xf numFmtId="3" fontId="33" fillId="3" borderId="0" applyAlignment="1" pivotButton="0" quotePrefix="0" xfId="0">
      <alignment horizontal="left" vertical="center" indent="1"/>
    </xf>
    <xf numFmtId="164" fontId="33" fillId="3" borderId="0" applyAlignment="1" pivotButton="0" quotePrefix="0" xfId="0">
      <alignment horizontal="left" vertical="center" indent="1"/>
    </xf>
    <xf numFmtId="167" fontId="26" fillId="0" borderId="0" pivotButton="0" quotePrefix="0" xfId="0"/>
    <xf numFmtId="0" fontId="34" fillId="0" borderId="0" pivotButton="0" quotePrefix="0" xfId="0"/>
    <xf numFmtId="0" fontId="21" fillId="0" borderId="0" pivotButton="0" quotePrefix="0" xfId="0"/>
    <xf numFmtId="166" fontId="35" fillId="0" borderId="0" pivotButton="0" quotePrefix="0" xfId="0"/>
    <xf numFmtId="0" fontId="2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styles" Target="styles.xml" Id="rId59" /><Relationship Type="http://schemas.openxmlformats.org/officeDocument/2006/relationships/theme" Target="theme/theme1.xml" Id="rId60" /></Relationships>
</file>

<file path=xl/charts/chart1.xml><?xml version="1.0" encoding="utf-8"?>
<chartSpace xmlns:a="http://schemas.openxmlformats.org/drawingml/2006/main" xmlns="http://schemas.openxmlformats.org/drawingml/2006/chart">
  <style val="2"/>
  <chart>
    <title>
      <tx>
        <rich>
          <a:bodyPr/>
          <a:p>
            <a:pPr>
              <a:defRPr/>
            </a:pPr>
            <a:r>
              <a:t>Net Sales — Trailing 12 Months</a:t>
            </a:r>
          </a:p>
        </rich>
      </tx>
    </title>
    <plotArea>
      <lineChart>
        <grouping val="standard"/>
        <ser>
          <idx val="0"/>
          <order val="0"/>
          <spPr>
            <a:ln w="20000">
              <a:solidFill>
                <a:srgbClr val="000000"/>
              </a:solidFill>
              <a:prstDash val="solid"/>
            </a:ln>
          </spPr>
          <marker>
            <symbol val="none"/>
            <spPr>
              <a:ln>
                <a:prstDash val="solid"/>
              </a:ln>
            </spPr>
          </marker>
          <cat>
            <strRef>
              <f>'02_Partner_Dashboard'!$C$19:$N$19</f>
            </strRef>
          </cat>
          <val>
            <numRef>
              <f>'02_Partner_Dashboard'!$C$20</f>
            </numRef>
          </val>
          <smooth val="0"/>
        </ser>
        <ser>
          <idx val="1"/>
          <order val="1"/>
          <spPr>
            <a:ln>
              <a:prstDash val="solid"/>
            </a:ln>
          </spPr>
          <marker>
            <symbol val="none"/>
            <spPr>
              <a:ln>
                <a:prstDash val="solid"/>
              </a:ln>
            </spPr>
          </marker>
          <cat>
            <strRef>
              <f>'02_Partner_Dashboard'!$C$19:$N$19</f>
            </strRef>
          </cat>
          <val>
            <numRef>
              <f>'02_Partner_Dashboard'!$D$20</f>
            </numRef>
          </val>
        </ser>
        <ser>
          <idx val="2"/>
          <order val="2"/>
          <spPr>
            <a:ln>
              <a:prstDash val="solid"/>
            </a:ln>
          </spPr>
          <marker>
            <symbol val="none"/>
            <spPr>
              <a:ln>
                <a:prstDash val="solid"/>
              </a:ln>
            </spPr>
          </marker>
          <cat>
            <strRef>
              <f>'02_Partner_Dashboard'!$C$19:$N$19</f>
            </strRef>
          </cat>
          <val>
            <numRef>
              <f>'02_Partner_Dashboard'!$E$20</f>
            </numRef>
          </val>
        </ser>
        <ser>
          <idx val="3"/>
          <order val="3"/>
          <spPr>
            <a:ln>
              <a:prstDash val="solid"/>
            </a:ln>
          </spPr>
          <marker>
            <symbol val="none"/>
            <spPr>
              <a:ln>
                <a:prstDash val="solid"/>
              </a:ln>
            </spPr>
          </marker>
          <cat>
            <strRef>
              <f>'02_Partner_Dashboard'!$C$19:$N$19</f>
            </strRef>
          </cat>
          <val>
            <numRef>
              <f>'02_Partner_Dashboard'!$F$20</f>
            </numRef>
          </val>
        </ser>
        <ser>
          <idx val="4"/>
          <order val="4"/>
          <spPr>
            <a:ln>
              <a:prstDash val="solid"/>
            </a:ln>
          </spPr>
          <marker>
            <symbol val="none"/>
            <spPr>
              <a:ln>
                <a:prstDash val="solid"/>
              </a:ln>
            </spPr>
          </marker>
          <cat>
            <strRef>
              <f>'02_Partner_Dashboard'!$C$19:$N$19</f>
            </strRef>
          </cat>
          <val>
            <numRef>
              <f>'02_Partner_Dashboard'!$G$20</f>
            </numRef>
          </val>
        </ser>
        <ser>
          <idx val="5"/>
          <order val="5"/>
          <spPr>
            <a:ln>
              <a:prstDash val="solid"/>
            </a:ln>
          </spPr>
          <marker>
            <symbol val="none"/>
            <spPr>
              <a:ln>
                <a:prstDash val="solid"/>
              </a:ln>
            </spPr>
          </marker>
          <cat>
            <strRef>
              <f>'02_Partner_Dashboard'!$C$19:$N$19</f>
            </strRef>
          </cat>
          <val>
            <numRef>
              <f>'02_Partner_Dashboard'!$H$20</f>
            </numRef>
          </val>
        </ser>
        <ser>
          <idx val="6"/>
          <order val="6"/>
          <spPr>
            <a:ln>
              <a:prstDash val="solid"/>
            </a:ln>
          </spPr>
          <marker>
            <symbol val="none"/>
            <spPr>
              <a:ln>
                <a:prstDash val="solid"/>
              </a:ln>
            </spPr>
          </marker>
          <cat>
            <strRef>
              <f>'02_Partner_Dashboard'!$C$19:$N$19</f>
            </strRef>
          </cat>
          <val>
            <numRef>
              <f>'02_Partner_Dashboard'!$I$20</f>
            </numRef>
          </val>
        </ser>
        <ser>
          <idx val="7"/>
          <order val="7"/>
          <spPr>
            <a:ln>
              <a:prstDash val="solid"/>
            </a:ln>
          </spPr>
          <marker>
            <symbol val="none"/>
            <spPr>
              <a:ln>
                <a:prstDash val="solid"/>
              </a:ln>
            </spPr>
          </marker>
          <cat>
            <strRef>
              <f>'02_Partner_Dashboard'!$C$19:$N$19</f>
            </strRef>
          </cat>
          <val>
            <numRef>
              <f>'02_Partner_Dashboard'!$J$20</f>
            </numRef>
          </val>
        </ser>
        <ser>
          <idx val="8"/>
          <order val="8"/>
          <spPr>
            <a:ln>
              <a:prstDash val="solid"/>
            </a:ln>
          </spPr>
          <marker>
            <symbol val="none"/>
            <spPr>
              <a:ln>
                <a:prstDash val="solid"/>
              </a:ln>
            </spPr>
          </marker>
          <cat>
            <strRef>
              <f>'02_Partner_Dashboard'!$C$19:$N$19</f>
            </strRef>
          </cat>
          <val>
            <numRef>
              <f>'02_Partner_Dashboard'!$K$20</f>
            </numRef>
          </val>
        </ser>
        <ser>
          <idx val="9"/>
          <order val="9"/>
          <spPr>
            <a:ln>
              <a:prstDash val="solid"/>
            </a:ln>
          </spPr>
          <marker>
            <symbol val="none"/>
            <spPr>
              <a:ln>
                <a:prstDash val="solid"/>
              </a:ln>
            </spPr>
          </marker>
          <cat>
            <strRef>
              <f>'02_Partner_Dashboard'!$C$19:$N$19</f>
            </strRef>
          </cat>
          <val>
            <numRef>
              <f>'02_Partner_Dashboard'!$L$20</f>
            </numRef>
          </val>
        </ser>
        <ser>
          <idx val="10"/>
          <order val="10"/>
          <spPr>
            <a:ln>
              <a:prstDash val="solid"/>
            </a:ln>
          </spPr>
          <marker>
            <symbol val="none"/>
            <spPr>
              <a:ln>
                <a:prstDash val="solid"/>
              </a:ln>
            </spPr>
          </marker>
          <cat>
            <strRef>
              <f>'02_Partner_Dashboard'!$C$19:$N$19</f>
            </strRef>
          </cat>
          <val>
            <numRef>
              <f>'02_Partner_Dashboard'!$M$20</f>
            </numRef>
          </val>
        </ser>
        <ser>
          <idx val="11"/>
          <order val="11"/>
          <spPr>
            <a:ln>
              <a:prstDash val="solid"/>
            </a:ln>
          </spPr>
          <marker>
            <symbol val="none"/>
            <spPr>
              <a:ln>
                <a:prstDash val="solid"/>
              </a:ln>
            </spPr>
          </marker>
          <cat>
            <strRef>
              <f>'02_Partner_Dashboard'!$C$19:$N$19</f>
            </strRef>
          </cat>
          <val>
            <numRef>
              <f>'02_Partner_Dashboard'!$N$20</f>
            </numRef>
          </val>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Net Sales — Trailing 12 Months</a:t>
            </a:r>
          </a:p>
        </rich>
      </tx>
    </title>
    <plotArea>
      <lineChart>
        <grouping val="standard"/>
        <ser>
          <idx val="0"/>
          <order val="0"/>
          <spPr>
            <a:ln w="20000">
              <a:solidFill>
                <a:srgbClr val="000000"/>
              </a:solidFill>
              <a:prstDash val="solid"/>
            </a:ln>
          </spPr>
          <marker>
            <symbol val="none"/>
            <spPr>
              <a:ln>
                <a:prstDash val="solid"/>
              </a:ln>
            </spPr>
          </marker>
          <cat>
            <strRef>
              <f>'04_Sales'!$C$18:$N$18</f>
            </strRef>
          </cat>
          <val>
            <numRef>
              <f>'04_Sales'!$C$19</f>
            </numRef>
          </val>
          <smooth val="0"/>
        </ser>
        <ser>
          <idx val="1"/>
          <order val="1"/>
          <spPr>
            <a:ln>
              <a:prstDash val="solid"/>
            </a:ln>
          </spPr>
          <marker>
            <symbol val="none"/>
            <spPr>
              <a:ln>
                <a:prstDash val="solid"/>
              </a:ln>
            </spPr>
          </marker>
          <cat>
            <strRef>
              <f>'04_Sales'!$C$18:$N$18</f>
            </strRef>
          </cat>
          <val>
            <numRef>
              <f>'04_Sales'!$D$19</f>
            </numRef>
          </val>
        </ser>
        <ser>
          <idx val="2"/>
          <order val="2"/>
          <spPr>
            <a:ln>
              <a:prstDash val="solid"/>
            </a:ln>
          </spPr>
          <marker>
            <symbol val="none"/>
            <spPr>
              <a:ln>
                <a:prstDash val="solid"/>
              </a:ln>
            </spPr>
          </marker>
          <cat>
            <strRef>
              <f>'04_Sales'!$C$18:$N$18</f>
            </strRef>
          </cat>
          <val>
            <numRef>
              <f>'04_Sales'!$E$19</f>
            </numRef>
          </val>
        </ser>
        <ser>
          <idx val="3"/>
          <order val="3"/>
          <spPr>
            <a:ln>
              <a:prstDash val="solid"/>
            </a:ln>
          </spPr>
          <marker>
            <symbol val="none"/>
            <spPr>
              <a:ln>
                <a:prstDash val="solid"/>
              </a:ln>
            </spPr>
          </marker>
          <cat>
            <strRef>
              <f>'04_Sales'!$C$18:$N$18</f>
            </strRef>
          </cat>
          <val>
            <numRef>
              <f>'04_Sales'!$F$19</f>
            </numRef>
          </val>
        </ser>
        <ser>
          <idx val="4"/>
          <order val="4"/>
          <spPr>
            <a:ln>
              <a:prstDash val="solid"/>
            </a:ln>
          </spPr>
          <marker>
            <symbol val="none"/>
            <spPr>
              <a:ln>
                <a:prstDash val="solid"/>
              </a:ln>
            </spPr>
          </marker>
          <cat>
            <strRef>
              <f>'04_Sales'!$C$18:$N$18</f>
            </strRef>
          </cat>
          <val>
            <numRef>
              <f>'04_Sales'!$G$19</f>
            </numRef>
          </val>
        </ser>
        <ser>
          <idx val="5"/>
          <order val="5"/>
          <spPr>
            <a:ln>
              <a:prstDash val="solid"/>
            </a:ln>
          </spPr>
          <marker>
            <symbol val="none"/>
            <spPr>
              <a:ln>
                <a:prstDash val="solid"/>
              </a:ln>
            </spPr>
          </marker>
          <cat>
            <strRef>
              <f>'04_Sales'!$C$18:$N$18</f>
            </strRef>
          </cat>
          <val>
            <numRef>
              <f>'04_Sales'!$H$19</f>
            </numRef>
          </val>
        </ser>
        <ser>
          <idx val="6"/>
          <order val="6"/>
          <spPr>
            <a:ln>
              <a:prstDash val="solid"/>
            </a:ln>
          </spPr>
          <marker>
            <symbol val="none"/>
            <spPr>
              <a:ln>
                <a:prstDash val="solid"/>
              </a:ln>
            </spPr>
          </marker>
          <cat>
            <strRef>
              <f>'04_Sales'!$C$18:$N$18</f>
            </strRef>
          </cat>
          <val>
            <numRef>
              <f>'04_Sales'!$I$19</f>
            </numRef>
          </val>
        </ser>
        <ser>
          <idx val="7"/>
          <order val="7"/>
          <spPr>
            <a:ln>
              <a:prstDash val="solid"/>
            </a:ln>
          </spPr>
          <marker>
            <symbol val="none"/>
            <spPr>
              <a:ln>
                <a:prstDash val="solid"/>
              </a:ln>
            </spPr>
          </marker>
          <cat>
            <strRef>
              <f>'04_Sales'!$C$18:$N$18</f>
            </strRef>
          </cat>
          <val>
            <numRef>
              <f>'04_Sales'!$J$19</f>
            </numRef>
          </val>
        </ser>
        <ser>
          <idx val="8"/>
          <order val="8"/>
          <spPr>
            <a:ln>
              <a:prstDash val="solid"/>
            </a:ln>
          </spPr>
          <marker>
            <symbol val="none"/>
            <spPr>
              <a:ln>
                <a:prstDash val="solid"/>
              </a:ln>
            </spPr>
          </marker>
          <cat>
            <strRef>
              <f>'04_Sales'!$C$18:$N$18</f>
            </strRef>
          </cat>
          <val>
            <numRef>
              <f>'04_Sales'!$K$19</f>
            </numRef>
          </val>
        </ser>
        <ser>
          <idx val="9"/>
          <order val="9"/>
          <spPr>
            <a:ln>
              <a:prstDash val="solid"/>
            </a:ln>
          </spPr>
          <marker>
            <symbol val="none"/>
            <spPr>
              <a:ln>
                <a:prstDash val="solid"/>
              </a:ln>
            </spPr>
          </marker>
          <cat>
            <strRef>
              <f>'04_Sales'!$C$18:$N$18</f>
            </strRef>
          </cat>
          <val>
            <numRef>
              <f>'04_Sales'!$L$19</f>
            </numRef>
          </val>
        </ser>
        <ser>
          <idx val="10"/>
          <order val="10"/>
          <spPr>
            <a:ln>
              <a:prstDash val="solid"/>
            </a:ln>
          </spPr>
          <marker>
            <symbol val="none"/>
            <spPr>
              <a:ln>
                <a:prstDash val="solid"/>
              </a:ln>
            </spPr>
          </marker>
          <cat>
            <strRef>
              <f>'04_Sales'!$C$18:$N$18</f>
            </strRef>
          </cat>
          <val>
            <numRef>
              <f>'04_Sales'!$M$19</f>
            </numRef>
          </val>
        </ser>
        <ser>
          <idx val="11"/>
          <order val="11"/>
          <spPr>
            <a:ln>
              <a:prstDash val="solid"/>
            </a:ln>
          </spPr>
          <marker>
            <symbol val="none"/>
            <spPr>
              <a:ln>
                <a:prstDash val="solid"/>
              </a:ln>
            </spPr>
          </marker>
          <cat>
            <strRef>
              <f>'04_Sales'!$C$18:$N$18</f>
            </strRef>
          </cat>
          <val>
            <numRef>
              <f>'04_Sales'!$N$19</f>
            </numRef>
          </val>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Top 10 Products — Net Sales</a:t>
            </a:r>
          </a:p>
        </rich>
      </tx>
    </title>
    <plotArea>
      <barChart>
        <barDir val="col"/>
        <grouping val="clustered"/>
        <ser>
          <idx val="0"/>
          <order val="0"/>
          <spPr>
            <a:solidFill>
              <a:srgbClr val="404040"/>
            </a:solidFill>
            <a:ln>
              <a:prstDash val="solid"/>
            </a:ln>
          </spPr>
          <cat>
            <strRef>
              <f>'05_Products'!$B$18:$B$27</f>
            </strRef>
          </cat>
          <val>
            <numRef>
              <f>'05_Products'!$D$18:$D$27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Average Inventory Value — Trailing 12 Months</a:t>
            </a:r>
          </a:p>
        </rich>
      </tx>
    </title>
    <plotArea>
      <lineChart>
        <grouping val="standard"/>
        <ser>
          <idx val="0"/>
          <order val="0"/>
          <spPr>
            <a:ln w="20000">
              <a:solidFill>
                <a:srgbClr val="000000"/>
              </a:solidFill>
              <a:prstDash val="solid"/>
            </a:ln>
          </spPr>
          <marker>
            <symbol val="none"/>
            <spPr>
              <a:ln>
                <a:prstDash val="solid"/>
              </a:ln>
            </spPr>
          </marker>
          <cat>
            <strRef>
              <f>'07_Inventory'!$C$19:$N$19</f>
            </strRef>
          </cat>
          <val>
            <numRef>
              <f>'07_Inventory'!$C$20</f>
            </numRef>
          </val>
          <smooth val="0"/>
        </ser>
        <ser>
          <idx val="1"/>
          <order val="1"/>
          <spPr>
            <a:ln>
              <a:prstDash val="solid"/>
            </a:ln>
          </spPr>
          <marker>
            <symbol val="none"/>
            <spPr>
              <a:ln>
                <a:prstDash val="solid"/>
              </a:ln>
            </spPr>
          </marker>
          <cat>
            <strRef>
              <f>'07_Inventory'!$C$19:$N$19</f>
            </strRef>
          </cat>
          <val>
            <numRef>
              <f>'07_Inventory'!$D$20</f>
            </numRef>
          </val>
        </ser>
        <ser>
          <idx val="2"/>
          <order val="2"/>
          <spPr>
            <a:ln>
              <a:prstDash val="solid"/>
            </a:ln>
          </spPr>
          <marker>
            <symbol val="none"/>
            <spPr>
              <a:ln>
                <a:prstDash val="solid"/>
              </a:ln>
            </spPr>
          </marker>
          <cat>
            <strRef>
              <f>'07_Inventory'!$C$19:$N$19</f>
            </strRef>
          </cat>
          <val>
            <numRef>
              <f>'07_Inventory'!$E$20</f>
            </numRef>
          </val>
        </ser>
        <ser>
          <idx val="3"/>
          <order val="3"/>
          <spPr>
            <a:ln>
              <a:prstDash val="solid"/>
            </a:ln>
          </spPr>
          <marker>
            <symbol val="none"/>
            <spPr>
              <a:ln>
                <a:prstDash val="solid"/>
              </a:ln>
            </spPr>
          </marker>
          <cat>
            <strRef>
              <f>'07_Inventory'!$C$19:$N$19</f>
            </strRef>
          </cat>
          <val>
            <numRef>
              <f>'07_Inventory'!$F$20</f>
            </numRef>
          </val>
        </ser>
        <ser>
          <idx val="4"/>
          <order val="4"/>
          <spPr>
            <a:ln>
              <a:prstDash val="solid"/>
            </a:ln>
          </spPr>
          <marker>
            <symbol val="none"/>
            <spPr>
              <a:ln>
                <a:prstDash val="solid"/>
              </a:ln>
            </spPr>
          </marker>
          <cat>
            <strRef>
              <f>'07_Inventory'!$C$19:$N$19</f>
            </strRef>
          </cat>
          <val>
            <numRef>
              <f>'07_Inventory'!$G$20</f>
            </numRef>
          </val>
        </ser>
        <ser>
          <idx val="5"/>
          <order val="5"/>
          <spPr>
            <a:ln>
              <a:prstDash val="solid"/>
            </a:ln>
          </spPr>
          <marker>
            <symbol val="none"/>
            <spPr>
              <a:ln>
                <a:prstDash val="solid"/>
              </a:ln>
            </spPr>
          </marker>
          <cat>
            <strRef>
              <f>'07_Inventory'!$C$19:$N$19</f>
            </strRef>
          </cat>
          <val>
            <numRef>
              <f>'07_Inventory'!$H$20</f>
            </numRef>
          </val>
        </ser>
        <ser>
          <idx val="6"/>
          <order val="6"/>
          <spPr>
            <a:ln>
              <a:prstDash val="solid"/>
            </a:ln>
          </spPr>
          <marker>
            <symbol val="none"/>
            <spPr>
              <a:ln>
                <a:prstDash val="solid"/>
              </a:ln>
            </spPr>
          </marker>
          <cat>
            <strRef>
              <f>'07_Inventory'!$C$19:$N$19</f>
            </strRef>
          </cat>
          <val>
            <numRef>
              <f>'07_Inventory'!$I$20</f>
            </numRef>
          </val>
        </ser>
        <ser>
          <idx val="7"/>
          <order val="7"/>
          <spPr>
            <a:ln>
              <a:prstDash val="solid"/>
            </a:ln>
          </spPr>
          <marker>
            <symbol val="none"/>
            <spPr>
              <a:ln>
                <a:prstDash val="solid"/>
              </a:ln>
            </spPr>
          </marker>
          <cat>
            <strRef>
              <f>'07_Inventory'!$C$19:$N$19</f>
            </strRef>
          </cat>
          <val>
            <numRef>
              <f>'07_Inventory'!$J$20</f>
            </numRef>
          </val>
        </ser>
        <ser>
          <idx val="8"/>
          <order val="8"/>
          <spPr>
            <a:ln>
              <a:prstDash val="solid"/>
            </a:ln>
          </spPr>
          <marker>
            <symbol val="none"/>
            <spPr>
              <a:ln>
                <a:prstDash val="solid"/>
              </a:ln>
            </spPr>
          </marker>
          <cat>
            <strRef>
              <f>'07_Inventory'!$C$19:$N$19</f>
            </strRef>
          </cat>
          <val>
            <numRef>
              <f>'07_Inventory'!$K$20</f>
            </numRef>
          </val>
        </ser>
        <ser>
          <idx val="9"/>
          <order val="9"/>
          <spPr>
            <a:ln>
              <a:prstDash val="solid"/>
            </a:ln>
          </spPr>
          <marker>
            <symbol val="none"/>
            <spPr>
              <a:ln>
                <a:prstDash val="solid"/>
              </a:ln>
            </spPr>
          </marker>
          <cat>
            <strRef>
              <f>'07_Inventory'!$C$19:$N$19</f>
            </strRef>
          </cat>
          <val>
            <numRef>
              <f>'07_Inventory'!$L$20</f>
            </numRef>
          </val>
        </ser>
        <ser>
          <idx val="10"/>
          <order val="10"/>
          <spPr>
            <a:ln>
              <a:prstDash val="solid"/>
            </a:ln>
          </spPr>
          <marker>
            <symbol val="none"/>
            <spPr>
              <a:ln>
                <a:prstDash val="solid"/>
              </a:ln>
            </spPr>
          </marker>
          <cat>
            <strRef>
              <f>'07_Inventory'!$C$19:$N$19</f>
            </strRef>
          </cat>
          <val>
            <numRef>
              <f>'07_Inventory'!$M$20</f>
            </numRef>
          </val>
        </ser>
        <ser>
          <idx val="11"/>
          <order val="11"/>
          <spPr>
            <a:ln>
              <a:prstDash val="solid"/>
            </a:ln>
          </spPr>
          <marker>
            <symbol val="none"/>
            <spPr>
              <a:ln>
                <a:prstDash val="solid"/>
              </a:ln>
            </spPr>
          </marker>
          <cat>
            <strRef>
              <f>'07_Inventory'!$C$19:$N$19</f>
            </strRef>
          </cat>
          <val>
            <numRef>
              <f>'07_Inventory'!$N$20</f>
            </numRef>
          </val>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P&amp;L Trend — Trailing 12 Months</a:t>
            </a:r>
          </a:p>
        </rich>
      </tx>
    </title>
    <plotArea>
      <lineChart>
        <grouping val="standard"/>
        <ser>
          <idx val="0"/>
          <order val="0"/>
          <tx>
            <v>Net Sales</v>
          </tx>
          <spPr>
            <a:ln w="18000">
              <a:solidFill>
                <a:srgbClr val="000000"/>
              </a:solidFill>
              <a:prstDash val="solid"/>
            </a:ln>
          </spPr>
          <marker>
            <symbol val="none"/>
            <spPr>
              <a:ln>
                <a:prstDash val="solid"/>
              </a:ln>
            </spPr>
          </marker>
          <cat>
            <strRef>
              <f>'08_Finance'!$C$18:$N$18</f>
            </strRef>
          </cat>
          <val>
            <numRef>
              <f>'08_Finance'!$C$19:$N$19</f>
            </numRef>
          </val>
          <smooth val="0"/>
        </ser>
        <ser>
          <idx val="1"/>
          <order val="1"/>
          <tx>
            <v>Operating Expenses</v>
          </tx>
          <spPr>
            <a:ln w="18000">
              <a:solidFill>
                <a:srgbClr val="0070C0"/>
              </a:solidFill>
              <a:prstDash val="solid"/>
            </a:ln>
          </spPr>
          <marker>
            <symbol val="none"/>
            <spPr>
              <a:ln>
                <a:prstDash val="solid"/>
              </a:ln>
            </spPr>
          </marker>
          <cat>
            <strRef>
              <f>'08_Finance'!$C$18:$N$18</f>
            </strRef>
          </cat>
          <val>
            <numRef>
              <f>'08_Finance'!$C$20:$N$20</f>
            </numRef>
          </val>
          <smooth val="0"/>
        </ser>
        <ser>
          <idx val="2"/>
          <order val="2"/>
          <tx>
            <v>Net Profit</v>
          </tx>
          <spPr>
            <a:ln w="18000">
              <a:solidFill>
                <a:srgbClr val="008000"/>
              </a:solidFill>
              <a:prstDash val="solid"/>
            </a:ln>
          </spPr>
          <marker>
            <symbol val="none"/>
            <spPr>
              <a:ln>
                <a:prstDash val="solid"/>
              </a:ln>
            </spPr>
          </marker>
          <cat>
            <strRef>
              <f>'08_Finance'!$C$18:$N$18</f>
            </strRef>
          </cat>
          <val>
            <numRef>
              <f>'08_Finance'!$C$21:$N$21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Gross Margin % — Trailing 12 Months</a:t>
            </a:r>
          </a:p>
        </rich>
      </tx>
    </title>
    <plotArea>
      <lineChart>
        <grouping val="standard"/>
        <ser>
          <idx val="0"/>
          <order val="0"/>
          <spPr>
            <a:ln w="20000">
              <a:solidFill>
                <a:srgbClr val="000000"/>
              </a:solidFill>
              <a:prstDash val="solid"/>
            </a:ln>
          </spPr>
          <marker>
            <symbol val="none"/>
            <spPr>
              <a:ln>
                <a:prstDash val="solid"/>
              </a:ln>
            </spPr>
          </marker>
          <cat>
            <strRef>
              <f>'09_Profitability'!$C$19:$N$19</f>
            </strRef>
          </cat>
          <val>
            <numRef>
              <f>'09_Profitability'!$C$20</f>
            </numRef>
          </val>
          <smooth val="0"/>
        </ser>
        <ser>
          <idx val="1"/>
          <order val="1"/>
          <spPr>
            <a:ln>
              <a:prstDash val="solid"/>
            </a:ln>
          </spPr>
          <marker>
            <symbol val="none"/>
            <spPr>
              <a:ln>
                <a:prstDash val="solid"/>
              </a:ln>
            </spPr>
          </marker>
          <cat>
            <strRef>
              <f>'09_Profitability'!$C$19:$N$19</f>
            </strRef>
          </cat>
          <val>
            <numRef>
              <f>'09_Profitability'!$D$20</f>
            </numRef>
          </val>
        </ser>
        <ser>
          <idx val="2"/>
          <order val="2"/>
          <spPr>
            <a:ln>
              <a:prstDash val="solid"/>
            </a:ln>
          </spPr>
          <marker>
            <symbol val="none"/>
            <spPr>
              <a:ln>
                <a:prstDash val="solid"/>
              </a:ln>
            </spPr>
          </marker>
          <cat>
            <strRef>
              <f>'09_Profitability'!$C$19:$N$19</f>
            </strRef>
          </cat>
          <val>
            <numRef>
              <f>'09_Profitability'!$E$20</f>
            </numRef>
          </val>
        </ser>
        <ser>
          <idx val="3"/>
          <order val="3"/>
          <spPr>
            <a:ln>
              <a:prstDash val="solid"/>
            </a:ln>
          </spPr>
          <marker>
            <symbol val="none"/>
            <spPr>
              <a:ln>
                <a:prstDash val="solid"/>
              </a:ln>
            </spPr>
          </marker>
          <cat>
            <strRef>
              <f>'09_Profitability'!$C$19:$N$19</f>
            </strRef>
          </cat>
          <val>
            <numRef>
              <f>'09_Profitability'!$F$20</f>
            </numRef>
          </val>
        </ser>
        <ser>
          <idx val="4"/>
          <order val="4"/>
          <spPr>
            <a:ln>
              <a:prstDash val="solid"/>
            </a:ln>
          </spPr>
          <marker>
            <symbol val="none"/>
            <spPr>
              <a:ln>
                <a:prstDash val="solid"/>
              </a:ln>
            </spPr>
          </marker>
          <cat>
            <strRef>
              <f>'09_Profitability'!$C$19:$N$19</f>
            </strRef>
          </cat>
          <val>
            <numRef>
              <f>'09_Profitability'!$G$20</f>
            </numRef>
          </val>
        </ser>
        <ser>
          <idx val="5"/>
          <order val="5"/>
          <spPr>
            <a:ln>
              <a:prstDash val="solid"/>
            </a:ln>
          </spPr>
          <marker>
            <symbol val="none"/>
            <spPr>
              <a:ln>
                <a:prstDash val="solid"/>
              </a:ln>
            </spPr>
          </marker>
          <cat>
            <strRef>
              <f>'09_Profitability'!$C$19:$N$19</f>
            </strRef>
          </cat>
          <val>
            <numRef>
              <f>'09_Profitability'!$H$20</f>
            </numRef>
          </val>
        </ser>
        <ser>
          <idx val="6"/>
          <order val="6"/>
          <spPr>
            <a:ln>
              <a:prstDash val="solid"/>
            </a:ln>
          </spPr>
          <marker>
            <symbol val="none"/>
            <spPr>
              <a:ln>
                <a:prstDash val="solid"/>
              </a:ln>
            </spPr>
          </marker>
          <cat>
            <strRef>
              <f>'09_Profitability'!$C$19:$N$19</f>
            </strRef>
          </cat>
          <val>
            <numRef>
              <f>'09_Profitability'!$I$20</f>
            </numRef>
          </val>
        </ser>
        <ser>
          <idx val="7"/>
          <order val="7"/>
          <spPr>
            <a:ln>
              <a:prstDash val="solid"/>
            </a:ln>
          </spPr>
          <marker>
            <symbol val="none"/>
            <spPr>
              <a:ln>
                <a:prstDash val="solid"/>
              </a:ln>
            </spPr>
          </marker>
          <cat>
            <strRef>
              <f>'09_Profitability'!$C$19:$N$19</f>
            </strRef>
          </cat>
          <val>
            <numRef>
              <f>'09_Profitability'!$J$20</f>
            </numRef>
          </val>
        </ser>
        <ser>
          <idx val="8"/>
          <order val="8"/>
          <spPr>
            <a:ln>
              <a:prstDash val="solid"/>
            </a:ln>
          </spPr>
          <marker>
            <symbol val="none"/>
            <spPr>
              <a:ln>
                <a:prstDash val="solid"/>
              </a:ln>
            </spPr>
          </marker>
          <cat>
            <strRef>
              <f>'09_Profitability'!$C$19:$N$19</f>
            </strRef>
          </cat>
          <val>
            <numRef>
              <f>'09_Profitability'!$K$20</f>
            </numRef>
          </val>
        </ser>
        <ser>
          <idx val="9"/>
          <order val="9"/>
          <spPr>
            <a:ln>
              <a:prstDash val="solid"/>
            </a:ln>
          </spPr>
          <marker>
            <symbol val="none"/>
            <spPr>
              <a:ln>
                <a:prstDash val="solid"/>
              </a:ln>
            </spPr>
          </marker>
          <cat>
            <strRef>
              <f>'09_Profitability'!$C$19:$N$19</f>
            </strRef>
          </cat>
          <val>
            <numRef>
              <f>'09_Profitability'!$L$20</f>
            </numRef>
          </val>
        </ser>
        <ser>
          <idx val="10"/>
          <order val="10"/>
          <spPr>
            <a:ln>
              <a:prstDash val="solid"/>
            </a:ln>
          </spPr>
          <marker>
            <symbol val="none"/>
            <spPr>
              <a:ln>
                <a:prstDash val="solid"/>
              </a:ln>
            </spPr>
          </marker>
          <cat>
            <strRef>
              <f>'09_Profitability'!$C$19:$N$19</f>
            </strRef>
          </cat>
          <val>
            <numRef>
              <f>'09_Profitability'!$M$20</f>
            </numRef>
          </val>
        </ser>
        <ser>
          <idx val="11"/>
          <order val="11"/>
          <spPr>
            <a:ln>
              <a:prstDash val="solid"/>
            </a:ln>
          </spPr>
          <marker>
            <symbol val="none"/>
            <spPr>
              <a:ln>
                <a:prstDash val="solid"/>
              </a:ln>
            </spPr>
          </marker>
          <cat>
            <strRef>
              <f>'09_Profitability'!$C$19:$N$19</f>
            </strRef>
          </cat>
          <val>
            <numRef>
              <f>'09_Profitability'!$N$20</f>
            </numRef>
          </val>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2"/>
  <chart>
    <title>
      <tx>
        <rich>
          <a:bodyPr/>
          <a:p>
            <a:pPr>
              <a:defRPr/>
            </a:pPr>
            <a:r>
              <a:t>Discounts — Trailing 12 Months</a:t>
            </a:r>
          </a:p>
        </rich>
      </tx>
    </title>
    <plotArea>
      <lineChart>
        <grouping val="standard"/>
        <ser>
          <idx val="0"/>
          <order val="0"/>
          <spPr>
            <a:ln w="20000">
              <a:solidFill>
                <a:srgbClr val="000000"/>
              </a:solidFill>
              <a:prstDash val="solid"/>
            </a:ln>
          </spPr>
          <marker>
            <symbol val="none"/>
            <spPr>
              <a:ln>
                <a:prstDash val="solid"/>
              </a:ln>
            </spPr>
          </marker>
          <cat>
            <strRef>
              <f>'13_Marketing'!$C$18:$N$18</f>
            </strRef>
          </cat>
          <val>
            <numRef>
              <f>'13_Marketing'!$C$19</f>
            </numRef>
          </val>
          <smooth val="0"/>
        </ser>
        <ser>
          <idx val="1"/>
          <order val="1"/>
          <spPr>
            <a:ln>
              <a:prstDash val="solid"/>
            </a:ln>
          </spPr>
          <marker>
            <symbol val="none"/>
            <spPr>
              <a:ln>
                <a:prstDash val="solid"/>
              </a:ln>
            </spPr>
          </marker>
          <cat>
            <strRef>
              <f>'13_Marketing'!$C$18:$N$18</f>
            </strRef>
          </cat>
          <val>
            <numRef>
              <f>'13_Marketing'!$D$19</f>
            </numRef>
          </val>
        </ser>
        <ser>
          <idx val="2"/>
          <order val="2"/>
          <spPr>
            <a:ln>
              <a:prstDash val="solid"/>
            </a:ln>
          </spPr>
          <marker>
            <symbol val="none"/>
            <spPr>
              <a:ln>
                <a:prstDash val="solid"/>
              </a:ln>
            </spPr>
          </marker>
          <cat>
            <strRef>
              <f>'13_Marketing'!$C$18:$N$18</f>
            </strRef>
          </cat>
          <val>
            <numRef>
              <f>'13_Marketing'!$E$19</f>
            </numRef>
          </val>
        </ser>
        <ser>
          <idx val="3"/>
          <order val="3"/>
          <spPr>
            <a:ln>
              <a:prstDash val="solid"/>
            </a:ln>
          </spPr>
          <marker>
            <symbol val="none"/>
            <spPr>
              <a:ln>
                <a:prstDash val="solid"/>
              </a:ln>
            </spPr>
          </marker>
          <cat>
            <strRef>
              <f>'13_Marketing'!$C$18:$N$18</f>
            </strRef>
          </cat>
          <val>
            <numRef>
              <f>'13_Marketing'!$F$19</f>
            </numRef>
          </val>
        </ser>
        <ser>
          <idx val="4"/>
          <order val="4"/>
          <spPr>
            <a:ln>
              <a:prstDash val="solid"/>
            </a:ln>
          </spPr>
          <marker>
            <symbol val="none"/>
            <spPr>
              <a:ln>
                <a:prstDash val="solid"/>
              </a:ln>
            </spPr>
          </marker>
          <cat>
            <strRef>
              <f>'13_Marketing'!$C$18:$N$18</f>
            </strRef>
          </cat>
          <val>
            <numRef>
              <f>'13_Marketing'!$G$19</f>
            </numRef>
          </val>
        </ser>
        <ser>
          <idx val="5"/>
          <order val="5"/>
          <spPr>
            <a:ln>
              <a:prstDash val="solid"/>
            </a:ln>
          </spPr>
          <marker>
            <symbol val="none"/>
            <spPr>
              <a:ln>
                <a:prstDash val="solid"/>
              </a:ln>
            </spPr>
          </marker>
          <cat>
            <strRef>
              <f>'13_Marketing'!$C$18:$N$18</f>
            </strRef>
          </cat>
          <val>
            <numRef>
              <f>'13_Marketing'!$H$19</f>
            </numRef>
          </val>
        </ser>
        <ser>
          <idx val="6"/>
          <order val="6"/>
          <spPr>
            <a:ln>
              <a:prstDash val="solid"/>
            </a:ln>
          </spPr>
          <marker>
            <symbol val="none"/>
            <spPr>
              <a:ln>
                <a:prstDash val="solid"/>
              </a:ln>
            </spPr>
          </marker>
          <cat>
            <strRef>
              <f>'13_Marketing'!$C$18:$N$18</f>
            </strRef>
          </cat>
          <val>
            <numRef>
              <f>'13_Marketing'!$I$19</f>
            </numRef>
          </val>
        </ser>
        <ser>
          <idx val="7"/>
          <order val="7"/>
          <spPr>
            <a:ln>
              <a:prstDash val="solid"/>
            </a:ln>
          </spPr>
          <marker>
            <symbol val="none"/>
            <spPr>
              <a:ln>
                <a:prstDash val="solid"/>
              </a:ln>
            </spPr>
          </marker>
          <cat>
            <strRef>
              <f>'13_Marketing'!$C$18:$N$18</f>
            </strRef>
          </cat>
          <val>
            <numRef>
              <f>'13_Marketing'!$J$19</f>
            </numRef>
          </val>
        </ser>
        <ser>
          <idx val="8"/>
          <order val="8"/>
          <spPr>
            <a:ln>
              <a:prstDash val="solid"/>
            </a:ln>
          </spPr>
          <marker>
            <symbol val="none"/>
            <spPr>
              <a:ln>
                <a:prstDash val="solid"/>
              </a:ln>
            </spPr>
          </marker>
          <cat>
            <strRef>
              <f>'13_Marketing'!$C$18:$N$18</f>
            </strRef>
          </cat>
          <val>
            <numRef>
              <f>'13_Marketing'!$K$19</f>
            </numRef>
          </val>
        </ser>
        <ser>
          <idx val="9"/>
          <order val="9"/>
          <spPr>
            <a:ln>
              <a:prstDash val="solid"/>
            </a:ln>
          </spPr>
          <marker>
            <symbol val="none"/>
            <spPr>
              <a:ln>
                <a:prstDash val="solid"/>
              </a:ln>
            </spPr>
          </marker>
          <cat>
            <strRef>
              <f>'13_Marketing'!$C$18:$N$18</f>
            </strRef>
          </cat>
          <val>
            <numRef>
              <f>'13_Marketing'!$L$19</f>
            </numRef>
          </val>
        </ser>
        <ser>
          <idx val="10"/>
          <order val="10"/>
          <spPr>
            <a:ln>
              <a:prstDash val="solid"/>
            </a:ln>
          </spPr>
          <marker>
            <symbol val="none"/>
            <spPr>
              <a:ln>
                <a:prstDash val="solid"/>
              </a:ln>
            </spPr>
          </marker>
          <cat>
            <strRef>
              <f>'13_Marketing'!$C$18:$N$18</f>
            </strRef>
          </cat>
          <val>
            <numRef>
              <f>'13_Marketing'!$M$19</f>
            </numRef>
          </val>
        </ser>
        <ser>
          <idx val="11"/>
          <order val="11"/>
          <spPr>
            <a:ln>
              <a:prstDash val="solid"/>
            </a:ln>
          </spPr>
          <marker>
            <symbol val="none"/>
            <spPr>
              <a:ln>
                <a:prstDash val="solid"/>
              </a:ln>
            </spPr>
          </marker>
          <cat>
            <strRef>
              <f>'13_Marketing'!$C$18:$N$18</f>
            </strRef>
          </cat>
          <val>
            <numRef>
              <f>'13_Marketing'!$N$19</f>
            </numRef>
          </val>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2"/>
  <chart>
    <title>
      <tx>
        <rich>
          <a:bodyPr/>
          <a:p>
            <a:pPr>
              <a:defRPr/>
            </a:pPr>
            <a:r>
              <a:t>Rows Loaded per Refresh</a:t>
            </a:r>
          </a:p>
        </rich>
      </tx>
    </title>
    <plotArea>
      <lineChart>
        <grouping val="standard"/>
        <ser>
          <idx val="0"/>
          <order val="0"/>
          <spPr>
            <a:ln w="20000">
              <a:solidFill>
                <a:srgbClr val="000000"/>
              </a:solidFill>
              <a:prstDash val="solid"/>
            </a:ln>
          </spPr>
          <marker>
            <symbol val="none"/>
            <spPr>
              <a:ln>
                <a:prstDash val="solid"/>
              </a:ln>
            </spPr>
          </marker>
          <cat>
            <strRef>
              <f>'LOG_RefreshHistory'!$C$12:$C$500</f>
            </strRef>
          </cat>
          <val>
            <numRef>
              <f>'LOG_RefreshHistory'!$E$12:$E$500</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2"/>
  <chart>
    <title>
      <tx>
        <rich>
          <a:bodyPr/>
          <a:p>
            <a:pPr>
              <a:defRPr/>
            </a:pPr>
            <a:r>
              <a:t>Monthly Purchasing — Trailing 12 Months</a:t>
            </a:r>
          </a:p>
        </rich>
      </tx>
    </title>
    <plotArea>
      <lineChart>
        <grouping val="standard"/>
        <ser>
          <idx val="0"/>
          <order val="0"/>
          <spPr>
            <a:ln w="20000">
              <a:solidFill>
                <a:srgbClr val="000000"/>
              </a:solidFill>
              <a:prstDash val="solid"/>
            </a:ln>
          </spPr>
          <marker>
            <symbol val="none"/>
            <spPr>
              <a:ln>
                <a:prstDash val="solid"/>
              </a:ln>
            </spPr>
          </marker>
          <cat>
            <strRef>
              <f>'RPT_Workflow'!$C$35:$N$35</f>
            </strRef>
          </cat>
          <val>
            <numRef>
              <f>'RPT_Workflow'!$C$36</f>
            </numRef>
          </val>
          <smooth val="0"/>
        </ser>
        <ser>
          <idx val="1"/>
          <order val="1"/>
          <spPr>
            <a:ln>
              <a:prstDash val="solid"/>
            </a:ln>
          </spPr>
          <marker>
            <symbol val="none"/>
            <spPr>
              <a:ln>
                <a:prstDash val="solid"/>
              </a:ln>
            </spPr>
          </marker>
          <cat>
            <strRef>
              <f>'RPT_Workflow'!$C$35:$N$35</f>
            </strRef>
          </cat>
          <val>
            <numRef>
              <f>'RPT_Workflow'!$D$36</f>
            </numRef>
          </val>
        </ser>
        <ser>
          <idx val="2"/>
          <order val="2"/>
          <spPr>
            <a:ln>
              <a:prstDash val="solid"/>
            </a:ln>
          </spPr>
          <marker>
            <symbol val="none"/>
            <spPr>
              <a:ln>
                <a:prstDash val="solid"/>
              </a:ln>
            </spPr>
          </marker>
          <cat>
            <strRef>
              <f>'RPT_Workflow'!$C$35:$N$35</f>
            </strRef>
          </cat>
          <val>
            <numRef>
              <f>'RPT_Workflow'!$E$36</f>
            </numRef>
          </val>
        </ser>
        <ser>
          <idx val="3"/>
          <order val="3"/>
          <spPr>
            <a:ln>
              <a:prstDash val="solid"/>
            </a:ln>
          </spPr>
          <marker>
            <symbol val="none"/>
            <spPr>
              <a:ln>
                <a:prstDash val="solid"/>
              </a:ln>
            </spPr>
          </marker>
          <cat>
            <strRef>
              <f>'RPT_Workflow'!$C$35:$N$35</f>
            </strRef>
          </cat>
          <val>
            <numRef>
              <f>'RPT_Workflow'!$F$36</f>
            </numRef>
          </val>
        </ser>
        <ser>
          <idx val="4"/>
          <order val="4"/>
          <spPr>
            <a:ln>
              <a:prstDash val="solid"/>
            </a:ln>
          </spPr>
          <marker>
            <symbol val="none"/>
            <spPr>
              <a:ln>
                <a:prstDash val="solid"/>
              </a:ln>
            </spPr>
          </marker>
          <cat>
            <strRef>
              <f>'RPT_Workflow'!$C$35:$N$35</f>
            </strRef>
          </cat>
          <val>
            <numRef>
              <f>'RPT_Workflow'!$G$36</f>
            </numRef>
          </val>
        </ser>
        <ser>
          <idx val="5"/>
          <order val="5"/>
          <spPr>
            <a:ln>
              <a:prstDash val="solid"/>
            </a:ln>
          </spPr>
          <marker>
            <symbol val="none"/>
            <spPr>
              <a:ln>
                <a:prstDash val="solid"/>
              </a:ln>
            </spPr>
          </marker>
          <cat>
            <strRef>
              <f>'RPT_Workflow'!$C$35:$N$35</f>
            </strRef>
          </cat>
          <val>
            <numRef>
              <f>'RPT_Workflow'!$H$36</f>
            </numRef>
          </val>
        </ser>
        <ser>
          <idx val="6"/>
          <order val="6"/>
          <spPr>
            <a:ln>
              <a:prstDash val="solid"/>
            </a:ln>
          </spPr>
          <marker>
            <symbol val="none"/>
            <spPr>
              <a:ln>
                <a:prstDash val="solid"/>
              </a:ln>
            </spPr>
          </marker>
          <cat>
            <strRef>
              <f>'RPT_Workflow'!$C$35:$N$35</f>
            </strRef>
          </cat>
          <val>
            <numRef>
              <f>'RPT_Workflow'!$I$36</f>
            </numRef>
          </val>
        </ser>
        <ser>
          <idx val="7"/>
          <order val="7"/>
          <spPr>
            <a:ln>
              <a:prstDash val="solid"/>
            </a:ln>
          </spPr>
          <marker>
            <symbol val="none"/>
            <spPr>
              <a:ln>
                <a:prstDash val="solid"/>
              </a:ln>
            </spPr>
          </marker>
          <cat>
            <strRef>
              <f>'RPT_Workflow'!$C$35:$N$35</f>
            </strRef>
          </cat>
          <val>
            <numRef>
              <f>'RPT_Workflow'!$J$36</f>
            </numRef>
          </val>
        </ser>
        <ser>
          <idx val="8"/>
          <order val="8"/>
          <spPr>
            <a:ln>
              <a:prstDash val="solid"/>
            </a:ln>
          </spPr>
          <marker>
            <symbol val="none"/>
            <spPr>
              <a:ln>
                <a:prstDash val="solid"/>
              </a:ln>
            </spPr>
          </marker>
          <cat>
            <strRef>
              <f>'RPT_Workflow'!$C$35:$N$35</f>
            </strRef>
          </cat>
          <val>
            <numRef>
              <f>'RPT_Workflow'!$K$36</f>
            </numRef>
          </val>
        </ser>
        <ser>
          <idx val="9"/>
          <order val="9"/>
          <spPr>
            <a:ln>
              <a:prstDash val="solid"/>
            </a:ln>
          </spPr>
          <marker>
            <symbol val="none"/>
            <spPr>
              <a:ln>
                <a:prstDash val="solid"/>
              </a:ln>
            </spPr>
          </marker>
          <cat>
            <strRef>
              <f>'RPT_Workflow'!$C$35:$N$35</f>
            </strRef>
          </cat>
          <val>
            <numRef>
              <f>'RPT_Workflow'!$L$36</f>
            </numRef>
          </val>
        </ser>
        <ser>
          <idx val="10"/>
          <order val="10"/>
          <spPr>
            <a:ln>
              <a:prstDash val="solid"/>
            </a:ln>
          </spPr>
          <marker>
            <symbol val="none"/>
            <spPr>
              <a:ln>
                <a:prstDash val="solid"/>
              </a:ln>
            </spPr>
          </marker>
          <cat>
            <strRef>
              <f>'RPT_Workflow'!$C$35:$N$35</f>
            </strRef>
          </cat>
          <val>
            <numRef>
              <f>'RPT_Workflow'!$M$36</f>
            </numRef>
          </val>
        </ser>
        <ser>
          <idx val="11"/>
          <order val="11"/>
          <spPr>
            <a:ln>
              <a:prstDash val="solid"/>
            </a:ln>
          </spPr>
          <marker>
            <symbol val="none"/>
            <spPr>
              <a:ln>
                <a:prstDash val="solid"/>
              </a:ln>
            </spPr>
          </marker>
          <cat>
            <strRef>
              <f>'RPT_Workflow'!$C$35:$N$35</f>
            </strRef>
          </cat>
          <val>
            <numRef>
              <f>'RPT_Workflow'!$N$36</f>
            </numRef>
          </val>
        </ser>
        <axId val="10"/>
        <axId val="100"/>
      </line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21</row>
      <rowOff>0</rowOff>
    </from>
    <ext cx="61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61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16</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21</row>
      <rowOff>0</rowOff>
    </from>
    <ext cx="61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22</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21</row>
      <rowOff>0</rowOff>
    </from>
    <ext cx="61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61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42</row>
      <rowOff>0</rowOff>
    </from>
    <ext cx="5400000" cy="21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37</row>
      <rowOff>0</rowOff>
    </from>
    <ext cx="5400000" cy="216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tbl_ProductCostMaster" displayName="tbl_ProductCostMaster" ref="B56:S57" headerRowCount="1">
  <autoFilter ref="B56:S57"/>
  <tableColumns count="18">
    <tableColumn id="2" name="Cost ID"/>
    <tableColumn id="3" name="SKU"/>
    <tableColumn id="4" name="Product Name"/>
    <tableColumn id="5" name="Variant"/>
    <tableColumn id="6" name="Collection"/>
    <tableColumn id="7" name="Fabric Cost"/>
    <tableColumn id="8" name="Accessories Cost"/>
    <tableColumn id="9" name="Manufacturing Cost"/>
    <tableColumn id="10" name="Packaging Cost"/>
    <tableColumn id="11" name="Shipping Cost"/>
    <tableColumn id="12" name="Other Cost"/>
    <tableColumn id="13" name="Total Landed Cost"/>
    <tableColumn id="14" name="Selling Price"/>
    <tableColumn id="15" name="Expected Gross Margin %"/>
    <tableColumn id="16" name="Effective From Date"/>
    <tableColumn id="17" name="Effective To Date"/>
    <tableColumn id="18" name="Active Flag"/>
    <tableColumn id="19" name="Overlap Warning"/>
  </tableColumns>
  <tableStyleInfo name="TableStyleLight1" showFirstColumn="0" showLastColumn="0" showRowStripes="0" showColumnStripes="0"/>
</table>
</file>

<file path=xl/tables/table2.xml><?xml version="1.0" encoding="utf-8"?>
<table xmlns="http://schemas.openxmlformats.org/spreadsheetml/2006/main" id="2" name="tbl_Budget" displayName="tbl_Budget" ref="B68:G69" headerRowCount="1">
  <autoFilter ref="B68:G69"/>
  <tableColumns count="6">
    <tableColumn id="2" name="Budget ID"/>
    <tableColumn id="3" name="Year"/>
    <tableColumn id="4" name="Month"/>
    <tableColumn id="5" name="Category"/>
    <tableColumn id="6" name="Budget Amount"/>
    <tableColumn id="7" name="Notes"/>
  </tableColumns>
  <tableStyleInfo name="TableStyleLight1" showFirstColumn="0" showLastColumn="0" showRowStripes="0" showColumnStripes="0"/>
</table>
</file>

<file path=xl/tables/table3.xml><?xml version="1.0" encoding="utf-8"?>
<table xmlns="http://schemas.openxmlformats.org/spreadsheetml/2006/main" id="3" name="tbl_ManualExpenses" displayName="tbl_ManualExpenses" ref="B22:R23" headerRowCount="1">
  <autoFilter ref="B22:R23"/>
  <tableColumns count="17">
    <tableColumn id="2" name="Expense ID"/>
    <tableColumn id="3" name="Expense Date"/>
    <tableColumn id="4" name="Expense Category"/>
    <tableColumn id="5" name="Expense Subcategory"/>
    <tableColumn id="6" name="Supplier"/>
    <tableColumn id="7" name="Amount"/>
    <tableColumn id="8" name="Currency"/>
    <tableColumn id="9" name="Payment Method"/>
    <tableColumn id="10" name="Related Collection"/>
    <tableColumn id="11" name="Related SKU"/>
    <tableColumn id="12" name="Cost Center"/>
    <tableColumn id="13" name="Notes"/>
    <tableColumn id="14" name="Invoice Number"/>
    <tableColumn id="15" name="File Name"/>
    <tableColumn id="16" name="File Path"/>
    <tableColumn id="17" name="Cloud Link"/>
    <tableColumn id="18" name="Possible Duplicate"/>
  </tableColumns>
  <tableStyleInfo name="TableStyleLight1" showFirstColumn="0" showLastColumn="0" showRowStripes="0" showColumnStripes="0"/>
</table>
</file>

<file path=xl/tables/table4.xml><?xml version="1.0" encoding="utf-8"?>
<table xmlns="http://schemas.openxmlformats.org/spreadsheetml/2006/main" id="4" name="tbl_CapitalTransactions" displayName="tbl_CapitalTransactions" ref="B20:I21" headerRowCount="1">
  <autoFilter ref="B20:I21"/>
  <tableColumns count="8">
    <tableColumn id="2" name="Capital ID"/>
    <tableColumn id="3" name="Date"/>
    <tableColumn id="4" name="Owner"/>
    <tableColumn id="5" name="Transaction Type"/>
    <tableColumn id="6" name="Amount"/>
    <tableColumn id="7" name="Notes"/>
    <tableColumn id="8" name="Entered By"/>
    <tableColumn id="9" name="Possible Duplicate"/>
  </tableColumns>
  <tableStyleInfo name="TableStyleLight1" showFirstColumn="0" showLastColumn="0" showRowStripes="0" showColumnStripes="0"/>
</table>
</file>

<file path=xl/tables/table5.xml><?xml version="1.0" encoding="utf-8"?>
<table xmlns="http://schemas.openxmlformats.org/spreadsheetml/2006/main" id="5" name="tbl_SupplierMaster" displayName="tbl_SupplierMaster" ref="B20:K21" headerRowCount="1">
  <autoFilter ref="B20:K21"/>
  <tableColumns count="10">
    <tableColumn id="2" name="Supplier ID"/>
    <tableColumn id="3" name="Supplier Name"/>
    <tableColumn id="4" name="Supplier Type"/>
    <tableColumn id="5" name="Contact Person"/>
    <tableColumn id="6" name="Phone"/>
    <tableColumn id="7" name="Email"/>
    <tableColumn id="8" name="Currency"/>
    <tableColumn id="9" name="Payment Terms"/>
    <tableColumn id="10" name="Status"/>
    <tableColumn id="11" name="Notes"/>
  </tableColumns>
  <tableStyleInfo name="TableStyleLight1" showFirstColumn="0" showLastColumn="0" showRowStripes="0" showColumnStripes="0"/>
</table>
</file>

<file path=xl/tables/table6.xml><?xml version="1.0" encoding="utf-8"?>
<table xmlns="http://schemas.openxmlformats.org/spreadsheetml/2006/main" id="6" name="tbl_POHeader" displayName="tbl_POHeader" ref="B25:H26" headerRowCount="1">
  <autoFilter ref="B25:H26"/>
  <tableColumns count="7">
    <tableColumn id="2" name="PO Number"/>
    <tableColumn id="3" name="Supplier"/>
    <tableColumn id="4" name="Order Date"/>
    <tableColumn id="5" name="Expected Delivery Date"/>
    <tableColumn id="6" name="Status"/>
    <tableColumn id="7" name="Currency"/>
    <tableColumn id="8" name="Notes"/>
  </tableColumns>
  <tableStyleInfo name="TableStyleLight1" showFirstColumn="0" showLastColumn="0" showRowStripes="0" showColumnStripes="0"/>
</table>
</file>

<file path=xl/tables/table7.xml><?xml version="1.0" encoding="utf-8"?>
<table xmlns="http://schemas.openxmlformats.org/spreadsheetml/2006/main" id="7" name="tbl_POLines" displayName="tbl_POLines" ref="B30:F31" headerRowCount="1">
  <autoFilter ref="B30:F31"/>
  <tableColumns count="5">
    <tableColumn id="2" name="PO Number"/>
    <tableColumn id="3" name="SKU"/>
    <tableColumn id="4" name="Quantity Ordered"/>
    <tableColumn id="5" name="Unit Cost"/>
    <tableColumn id="6" name="Total Cost"/>
  </tableColumns>
  <tableStyleInfo name="TableStyleLight1" showFirstColumn="0" showLastColumn="0" showRowStripes="0" showColumnStripes="0"/>
</table>
</file>

<file path=xl/tables/table8.xml><?xml version="1.0" encoding="utf-8"?>
<table xmlns="http://schemas.openxmlformats.org/spreadsheetml/2006/main" id="8" name="tbl_GoodsReceipt" displayName="tbl_GoodsReceipt" ref="B35:J36" headerRowCount="1">
  <autoFilter ref="B35:J36"/>
  <tableColumns count="9">
    <tableColumn id="2" name="PO Number"/>
    <tableColumn id="3" name="SKU"/>
    <tableColumn id="4" name="Goods Received Date"/>
    <tableColumn id="5" name="Quantity Received"/>
    <tableColumn id="6" name="Remaining Quantity"/>
    <tableColumn id="7" name="Actual Unit Cost"/>
    <tableColumn id="8" name="Variance from PO"/>
    <tableColumn id="9" name="Warehouse"/>
    <tableColumn id="10" name="Receiver"/>
  </tableColumns>
  <tableStyleInfo name="TableStyleLight1" showFirstColumn="0" showLastColumn="0" showRowStripes="0" showColumnStripes="0"/>
</table>
</file>

<file path=xl/tables/table9.xml><?xml version="1.0" encoding="utf-8"?>
<table xmlns="http://schemas.openxmlformats.org/spreadsheetml/2006/main" id="9" name="tbl_ValidationRules" displayName="tbl_ValidationRules" ref="B17:E18" headerRowCount="1">
  <autoFilter ref="B17:E18"/>
  <tableColumns count="4">
    <tableColumn id="2" name="Rule ID"/>
    <tableColumn id="3" name="Check Name"/>
    <tableColumn id="4" name="Applies To"/>
    <tableColumn id="5" name="Threshold"/>
  </tableColumns>
  <tableStyleInfo name="TableStyleLight1" showFirstColumn="0" showLastColumn="0" showRowStripes="0" showColumnStripes="0"/>
</table>
</file>

<file path=xl/tables/table10.xml><?xml version="1.0" encoding="utf-8"?>
<table xmlns="http://schemas.openxmlformats.org/spreadsheetml/2006/main" id="10" name="tbl_RefreshStatusSummary" displayName="tbl_RefreshStatusSummary" ref="B22:E23" headerRowCount="1">
  <autoFilter ref="B22:E23"/>
  <tableColumns count="4">
    <tableColumn id="2" name="Table"/>
    <tableColumn id="3" name="Last Refreshed"/>
    <tableColumn id="4" name="Row Count"/>
    <tableColumn id="5" name="Status"/>
  </tableColumns>
  <tableStyleInfo name="TableStyleLight1" showFirstColumn="0" showLastColumn="0" showRowStripes="0" showColumnStripes="0"/>
</table>
</file>

<file path=xl/tables/table11.xml><?xml version="1.0" encoding="utf-8"?>
<table xmlns="http://schemas.openxmlformats.org/spreadsheetml/2006/main" id="11" name="tbl_DataQualityChecks" displayName="tbl_DataQualityChecks" ref="B27:F28" headerRowCount="1">
  <autoFilter ref="B27:F28"/>
  <tableColumns count="5">
    <tableColumn id="2" name="Check Name"/>
    <tableColumn id="3" name="Metric"/>
    <tableColumn id="4" name="Result"/>
    <tableColumn id="5" name="Status"/>
    <tableColumn id="6" name="Notes"/>
  </tableColumns>
  <tableStyleInfo name="TableStyleLight1" showFirstColumn="0" showLastColumn="0" showRowStripes="0" showColumnStripes="0"/>
</table>
</file>

<file path=xl/tables/table12.xml><?xml version="1.0" encoding="utf-8"?>
<table xmlns="http://schemas.openxmlformats.org/spreadsheetml/2006/main" id="12" name="tbl_ChartOfAccounts" displayName="tbl_ChartOfAccounts" ref="B31:F32" headerRowCount="1">
  <autoFilter ref="B31:F32"/>
  <tableColumns count="5">
    <tableColumn id="2" name="Account Code"/>
    <tableColumn id="3" name="Account Name"/>
    <tableColumn id="4" name="Statement"/>
    <tableColumn id="5" name="P&amp;L / BS Line"/>
    <tableColumn id="6" name="Source"/>
  </tableColumns>
  <tableStyleInfo name="TableStyleLight1" showFirstColumn="0" showLastColumn="0" showRowStripes="0" showColumnStripes="0"/>
</table>
</file>

<file path=xl/tables/table13.xml><?xml version="1.0" encoding="utf-8"?>
<table xmlns="http://schemas.openxmlformats.org/spreadsheetml/2006/main" id="13" name="tbl_VersionLog" displayName="tbl_VersionLog" ref="B36:E47" headerRowCount="1">
  <autoFilter ref="B36:E47"/>
  <tableColumns count="4">
    <tableColumn id="2" name="Version"/>
    <tableColumn id="3" name="Date"/>
    <tableColumn id="4" name="Phase"/>
    <tableColumn id="5" name="Summary"/>
  </tableColumns>
  <tableStyleInfo name="TableStyleLight1" showFirstColumn="0" showLastColumn="0" showRowStripes="0" showColumnStripes="0"/>
</table>
</file>

<file path=xl/tables/table14.xml><?xml version="1.0" encoding="utf-8"?>
<table xmlns="http://schemas.openxmlformats.org/spreadsheetml/2006/main" id="14" name="tbl_LookupExpenseCategory" displayName="tbl_LookupExpenseCategory" ref="B51:B61" headerRowCount="1">
  <autoFilter ref="B51:B61"/>
  <tableColumns count="1">
    <tableColumn id="2" name="Expense Category"/>
  </tableColumns>
  <tableStyleInfo name="TableStyleLight1" showFirstColumn="0" showLastColumn="0" showRowStripes="0" showColumnStripes="0"/>
</table>
</file>

<file path=xl/tables/table15.xml><?xml version="1.0" encoding="utf-8"?>
<table xmlns="http://schemas.openxmlformats.org/spreadsheetml/2006/main" id="15" name="tbl_LookupExpenseSubcategory" displayName="tbl_LookupExpenseSubcategory" ref="B63:B75" headerRowCount="1">
  <autoFilter ref="B63:B75"/>
  <tableColumns count="1">
    <tableColumn id="2" name="Expense Subcategory"/>
  </tableColumns>
  <tableStyleInfo name="TableStyleLight1" showFirstColumn="0" showLastColumn="0" showRowStripes="0" showColumnStripes="0"/>
</table>
</file>

<file path=xl/tables/table16.xml><?xml version="1.0" encoding="utf-8"?>
<table xmlns="http://schemas.openxmlformats.org/spreadsheetml/2006/main" id="16" name="tbl_LookupCostCenter" displayName="tbl_LookupCostCenter" ref="B77:B82" headerRowCount="1">
  <autoFilter ref="B77:B82"/>
  <tableColumns count="1">
    <tableColumn id="2" name="Cost Center"/>
  </tableColumns>
  <tableStyleInfo name="TableStyleLight1" showFirstColumn="0" showLastColumn="0" showRowStripes="0" showColumnStripes="0"/>
</table>
</file>

<file path=xl/tables/table17.xml><?xml version="1.0" encoding="utf-8"?>
<table xmlns="http://schemas.openxmlformats.org/spreadsheetml/2006/main" id="17" name="tbl_LookupPaymentMethod" displayName="tbl_LookupPaymentMethod" ref="B84:B90" headerRowCount="1">
  <autoFilter ref="B84:B90"/>
  <tableColumns count="1">
    <tableColumn id="2" name="Payment Method"/>
  </tableColumns>
  <tableStyleInfo name="TableStyleLight1" showFirstColumn="0" showLastColumn="0" showRowStripes="0" showColumnStripes="0"/>
</table>
</file>

<file path=xl/tables/table18.xml><?xml version="1.0" encoding="utf-8"?>
<table xmlns="http://schemas.openxmlformats.org/spreadsheetml/2006/main" id="18" name="tbl_LookupCurrency" displayName="tbl_LookupCurrency" ref="B92:B96" headerRowCount="1">
  <autoFilter ref="B92:B96"/>
  <tableColumns count="1">
    <tableColumn id="2" name="Currency"/>
  </tableColumns>
  <tableStyleInfo name="TableStyleLight1" showFirstColumn="0" showLastColumn="0" showRowStripes="0" showColumnStripes="0"/>
</table>
</file>

<file path=xl/tables/table19.xml><?xml version="1.0" encoding="utf-8"?>
<table xmlns="http://schemas.openxmlformats.org/spreadsheetml/2006/main" id="19" name="tbl_LookupSupplierType" displayName="tbl_LookupSupplierType" ref="B98:B106" headerRowCount="1">
  <autoFilter ref="B98:B106"/>
  <tableColumns count="1">
    <tableColumn id="2" name="Supplier Type"/>
  </tableColumns>
  <tableStyleInfo name="TableStyleLight1" showFirstColumn="0" showLastColumn="0" showRowStripes="0" showColumnStripes="0"/>
</table>
</file>

<file path=xl/tables/table20.xml><?xml version="1.0" encoding="utf-8"?>
<table xmlns="http://schemas.openxmlformats.org/spreadsheetml/2006/main" id="20" name="tbl_LookupSupplierStatus" displayName="tbl_LookupSupplierStatus" ref="B108:B111" headerRowCount="1">
  <autoFilter ref="B108:B111"/>
  <tableColumns count="1">
    <tableColumn id="2" name="Supplier Status"/>
  </tableColumns>
  <tableStyleInfo name="TableStyleLight1" showFirstColumn="0" showLastColumn="0" showRowStripes="0" showColumnStripes="0"/>
</table>
</file>

<file path=xl/tables/table21.xml><?xml version="1.0" encoding="utf-8"?>
<table xmlns="http://schemas.openxmlformats.org/spreadsheetml/2006/main" id="21" name="tbl_LookupCapitalTransactionType" displayName="tbl_LookupCapitalTransactionType" ref="B113:B115" headerRowCount="1">
  <autoFilter ref="B113:B115"/>
  <tableColumns count="1">
    <tableColumn id="2" name="Capital Transaction Type"/>
  </tableColumns>
  <tableStyleInfo name="TableStyleLight1" showFirstColumn="0" showLastColumn="0" showRowStripes="0" showColumnStripes="0"/>
</table>
</file>

<file path=xl/tables/table22.xml><?xml version="1.0" encoding="utf-8"?>
<table xmlns="http://schemas.openxmlformats.org/spreadsheetml/2006/main" id="22" name="tbl_LookupPOStatus" displayName="tbl_LookupPOStatus" ref="B117:B124" headerRowCount="1">
  <autoFilter ref="B117:B124"/>
  <tableColumns count="1">
    <tableColumn id="2" name="PO Status"/>
  </tableColumns>
  <tableStyleInfo name="TableStyleLight1" showFirstColumn="0" showLastColumn="0" showRowStripes="0" showColumnStripes="0"/>
</table>
</file>

<file path=xl/tables/table23.xml><?xml version="1.0" encoding="utf-8"?>
<table xmlns="http://schemas.openxmlformats.org/spreadsheetml/2006/main" id="23" name="tbl_LookupWarehouse" displayName="tbl_LookupWarehouse" ref="B126:B129" headerRowCount="1">
  <autoFilter ref="B126:B129"/>
  <tableColumns count="1">
    <tableColumn id="2" name="Warehouse"/>
  </tableColumns>
  <tableStyleInfo name="TableStyleLight1" showFirstColumn="0" showLastColumn="0" showRowStripes="0" showColumnStripes="0"/>
</table>
</file>

<file path=xl/tables/table24.xml><?xml version="1.0" encoding="utf-8"?>
<table xmlns="http://schemas.openxmlformats.org/spreadsheetml/2006/main" id="24" name="tbl_LookupOwner" displayName="tbl_LookupOwner" ref="B131:B132" headerRowCount="1">
  <autoFilter ref="B131:B132"/>
  <tableColumns count="1">
    <tableColumn id="2" name="Owner"/>
  </tableColumns>
  <tableStyleInfo name="TableStyleLight1" showFirstColumn="0" showLastColumn="0" showRowStripes="0" showColumnStripes="0"/>
</table>
</file>

<file path=xl/tables/table25.xml><?xml version="1.0" encoding="utf-8"?>
<table xmlns="http://schemas.openxmlformats.org/spreadsheetml/2006/main" id="25" name="tbl_LookupBudgetPeriod" displayName="tbl_LookupBudgetPeriod" ref="B134:B136" headerRowCount="1">
  <autoFilter ref="B134:B136"/>
  <tableColumns count="1">
    <tableColumn id="2" name="Budget Period"/>
  </tableColumns>
  <tableStyleInfo name="TableStyleLight1" showFirstColumn="0" showLastColumn="0" showRowStripes="0" showColumnStripes="0"/>
</table>
</file>

<file path=xl/tables/table26.xml><?xml version="1.0" encoding="utf-8"?>
<table xmlns="http://schemas.openxmlformats.org/spreadsheetml/2006/main" id="26" name="tbl_LookupBudgetCategory" displayName="tbl_LookupBudgetCategory" ref="B138:B143" headerRowCount="1">
  <autoFilter ref="B138:B143"/>
  <tableColumns count="1">
    <tableColumn id="2" name="Budget Category"/>
  </tableColumns>
  <tableStyleInfo name="TableStyleLight1" showFirstColumn="0" showLastColumn="0" showRowStripes="0" showColumnStripes="0"/>
</table>
</file>

<file path=xl/tables/table27.xml><?xml version="1.0" encoding="utf-8"?>
<table xmlns="http://schemas.openxmlformats.org/spreadsheetml/2006/main" id="27" name="tbl_LookupAlertSeverity" displayName="tbl_LookupAlertSeverity" ref="B145:B148" headerRowCount="1">
  <autoFilter ref="B145:B148"/>
  <tableColumns count="1">
    <tableColumn id="2" name="Alert Severity"/>
  </tableColumns>
  <tableStyleInfo name="TableStyleLight1" showFirstColumn="0" showLastColumn="0" showRowStripes="0" showColumnStripes="0"/>
</table>
</file>

<file path=xl/tables/table28.xml><?xml version="1.0" encoding="utf-8"?>
<table xmlns="http://schemas.openxmlformats.org/spreadsheetml/2006/main" id="28" name="tbl_KPITargets" displayName="tbl_KPITargets" ref="B152:F162" headerRowCount="1">
  <autoFilter ref="B152:F162"/>
  <tableColumns count="5">
    <tableColumn id="2" name="KPI Name"/>
    <tableColumn id="3" name="Target Value"/>
    <tableColumn id="4" name="Unit"/>
    <tableColumn id="5" name="Period"/>
    <tableColumn id="6" name="Notes"/>
  </tableColumns>
  <tableStyleInfo name="TableStyleLight1" showFirstColumn="0" showLastColumn="0" showRowStripes="0" showColumnStripes="0"/>
</table>
</file>

<file path=xl/tables/table29.xml><?xml version="1.0" encoding="utf-8"?>
<table xmlns="http://schemas.openxmlformats.org/spreadsheetml/2006/main" id="29" name="tbl_HealthScoreWeights" displayName="tbl_HealthScoreWeights" ref="B166:C176" headerRowCount="1">
  <autoFilter ref="B166:C176"/>
  <tableColumns count="2">
    <tableColumn id="2" name="Component"/>
    <tableColumn id="3" name="Weight"/>
  </tableColumns>
  <tableStyleInfo name="TableStyleLight1" showFirstColumn="0" showLastColumn="0" showRowStripes="0" showColumnStripes="0"/>
</table>
</file>

<file path=xl/tables/table30.xml><?xml version="1.0" encoding="utf-8"?>
<table xmlns="http://schemas.openxmlformats.org/spreadsheetml/2006/main" id="30" name="tbl_Holidays" displayName="tbl_Holidays" ref="B180:C181" headerRowCount="1">
  <autoFilter ref="B180:C181"/>
  <tableColumns count="2">
    <tableColumn id="2" name="Date"/>
    <tableColumn id="3" name="Holiday Name"/>
  </tableColumns>
  <tableStyleInfo name="TableStyleLight1" showFirstColumn="0" showLastColumn="0" showRowStripes="0" showColumnStripes="0"/>
</table>
</file>

<file path=xl/tables/table31.xml><?xml version="1.0" encoding="utf-8"?>
<table xmlns="http://schemas.openxmlformats.org/spreadsheetml/2006/main" id="31" name="tbl_RAW_Orders" displayName="tbl_RAW_Orders" ref="B11:N12" headerRowCount="1">
  <autoFilter ref="B11:N12"/>
  <tableColumns count="13">
    <tableColumn id="2" name="OrderID"/>
    <tableColumn id="3" name="OrderNumber"/>
    <tableColumn id="4" name="CreatedAt"/>
    <tableColumn id="5" name="UpdatedAt"/>
    <tableColumn id="6" name="FinancialStatus"/>
    <tableColumn id="7" name="FulfillmentStatus"/>
    <tableColumn id="8" name="Currency"/>
    <tableColumn id="9" name="TotalPrice"/>
    <tableColumn id="10" name="SubtotalPrice"/>
    <tableColumn id="11" name="TotalDiscounts"/>
    <tableColumn id="12" name="TotalTax"/>
    <tableColumn id="13" name="CustomerID"/>
    <tableColumn id="14" name="LocationID"/>
  </tableColumns>
  <tableStyleInfo name="TableStyleLight1" showFirstColumn="0" showLastColumn="0" showRowStripes="0" showColumnStripes="0"/>
</table>
</file>

<file path=xl/tables/table32.xml><?xml version="1.0" encoding="utf-8"?>
<table xmlns="http://schemas.openxmlformats.org/spreadsheetml/2006/main" id="32" name="tbl_RAW_OrderLines" displayName="tbl_RAW_OrderLines" ref="B11:K12" headerRowCount="1">
  <autoFilter ref="B11:K12"/>
  <tableColumns count="10">
    <tableColumn id="2" name="LineItemID"/>
    <tableColumn id="3" name="OrderID"/>
    <tableColumn id="4" name="ProductID"/>
    <tableColumn id="5" name="VariantID"/>
    <tableColumn id="6" name="SKU"/>
    <tableColumn id="7" name="Title"/>
    <tableColumn id="8" name="Quantity"/>
    <tableColumn id="9" name="UnitPrice"/>
    <tableColumn id="10" name="DiscountAllocated"/>
    <tableColumn id="11" name="TaxAllocated"/>
  </tableColumns>
  <tableStyleInfo name="TableStyleLight1" showFirstColumn="0" showLastColumn="0" showRowStripes="0" showColumnStripes="0"/>
</table>
</file>

<file path=xl/tables/table33.xml><?xml version="1.0" encoding="utf-8"?>
<table xmlns="http://schemas.openxmlformats.org/spreadsheetml/2006/main" id="33" name="tbl_RAW_Transactions" displayName="tbl_RAW_Transactions" ref="B11:K12" headerRowCount="1">
  <autoFilter ref="B11:K12"/>
  <tableColumns count="10">
    <tableColumn id="2" name="TransactionID"/>
    <tableColumn id="3" name="OrderID"/>
    <tableColumn id="4" name="Kind"/>
    <tableColumn id="5" name="Status"/>
    <tableColumn id="6" name="Gateway"/>
    <tableColumn id="7" name="AmountShop"/>
    <tableColumn id="8" name="CurrencyShop"/>
    <tableColumn id="9" name="CreatedAt"/>
    <tableColumn id="10" name="ProcessedAt"/>
    <tableColumn id="11" name="Test"/>
  </tableColumns>
  <tableStyleInfo name="TableStyleLight1" showFirstColumn="0" showLastColumn="0" showRowStripes="0" showColumnStripes="0"/>
</table>
</file>

<file path=xl/tables/table34.xml><?xml version="1.0" encoding="utf-8"?>
<table xmlns="http://schemas.openxmlformats.org/spreadsheetml/2006/main" id="34" name="tbl_RAW_Refunds" displayName="tbl_RAW_Refunds" ref="B11:K12" headerRowCount="1">
  <autoFilter ref="B11:K12"/>
  <tableColumns count="10">
    <tableColumn id="2" name="RefundLineItemID"/>
    <tableColumn id="3" name="RefundID"/>
    <tableColumn id="4" name="OrderID"/>
    <tableColumn id="5" name="LineItemID"/>
    <tableColumn id="6" name="Quantity"/>
    <tableColumn id="7" name="SubtotalAmount"/>
    <tableColumn id="8" name="TaxAmount"/>
    <tableColumn id="9" name="RefundCreatedAt"/>
    <tableColumn id="10" name="RefundProcessedAt"/>
    <tableColumn id="11" name="Note"/>
  </tableColumns>
  <tableStyleInfo name="TableStyleLight1" showFirstColumn="0" showLastColumn="0" showRowStripes="0" showColumnStripes="0"/>
</table>
</file>

<file path=xl/tables/table35.xml><?xml version="1.0" encoding="utf-8"?>
<table xmlns="http://schemas.openxmlformats.org/spreadsheetml/2006/main" id="35" name="tbl_RAW_Products" displayName="tbl_RAW_Products" ref="B11:I12" headerRowCount="1">
  <autoFilter ref="B11:I12"/>
  <tableColumns count="8">
    <tableColumn id="2" name="ProductID"/>
    <tableColumn id="3" name="Title"/>
    <tableColumn id="4" name="ProductType"/>
    <tableColumn id="5" name="Vendor"/>
    <tableColumn id="6" name="CollectionIDs"/>
    <tableColumn id="7" name="CreatedAt"/>
    <tableColumn id="8" name="UpdatedAt"/>
    <tableColumn id="9" name="Status"/>
  </tableColumns>
  <tableStyleInfo name="TableStyleLight1" showFirstColumn="0" showLastColumn="0" showRowStripes="0" showColumnStripes="0"/>
</table>
</file>

<file path=xl/tables/table36.xml><?xml version="1.0" encoding="utf-8"?>
<table xmlns="http://schemas.openxmlformats.org/spreadsheetml/2006/main" id="36" name="tbl_RAW_Variants" displayName="tbl_RAW_Variants" ref="B11:K12" headerRowCount="1">
  <autoFilter ref="B11:K12"/>
  <tableColumns count="10">
    <tableColumn id="2" name="VariantID"/>
    <tableColumn id="3" name="ProductID"/>
    <tableColumn id="4" name="SKU"/>
    <tableColumn id="5" name="Title"/>
    <tableColumn id="6" name="Price"/>
    <tableColumn id="7" name="CompareAtPrice"/>
    <tableColumn id="8" name="InventoryItemID"/>
    <tableColumn id="9" name="UnitCost"/>
    <tableColumn id="10" name="CreatedAt"/>
    <tableColumn id="11" name="UpdatedAt"/>
  </tableColumns>
  <tableStyleInfo name="TableStyleLight1" showFirstColumn="0" showLastColumn="0" showRowStripes="0" showColumnStripes="0"/>
</table>
</file>

<file path=xl/tables/table37.xml><?xml version="1.0" encoding="utf-8"?>
<table xmlns="http://schemas.openxmlformats.org/spreadsheetml/2006/main" id="37" name="tbl_RAW_InventoryLevels" displayName="tbl_RAW_InventoryLevels" ref="B11:F12" headerRowCount="1">
  <autoFilter ref="B11:F12"/>
  <tableColumns count="5">
    <tableColumn id="2" name="InventoryItemID"/>
    <tableColumn id="3" name="SKU"/>
    <tableColumn id="4" name="LocationID"/>
    <tableColumn id="5" name="Available"/>
    <tableColumn id="6" name="UpdatedAt"/>
  </tableColumns>
  <tableStyleInfo name="TableStyleLight1" showFirstColumn="0" showLastColumn="0" showRowStripes="0" showColumnStripes="0"/>
</table>
</file>

<file path=xl/tables/table38.xml><?xml version="1.0" encoding="utf-8"?>
<table xmlns="http://schemas.openxmlformats.org/spreadsheetml/2006/main" id="38" name="tbl_RAW_Customers" displayName="tbl_RAW_Customers" ref="B11:J12" headerRowCount="1">
  <autoFilter ref="B11:J12"/>
  <tableColumns count="9">
    <tableColumn id="2" name="CustomerID"/>
    <tableColumn id="3" name="FirstName"/>
    <tableColumn id="4" name="LastName"/>
    <tableColumn id="5" name="Email"/>
    <tableColumn id="6" name="CreatedAt"/>
    <tableColumn id="7" name="UpdatedAt"/>
    <tableColumn id="8" name="OrdersCount"/>
    <tableColumn id="9" name="TotalSpent"/>
    <tableColumn id="10" name="DefaultAddressCountry"/>
  </tableColumns>
  <tableStyleInfo name="TableStyleLight1" showFirstColumn="0" showLastColumn="0" showRowStripes="0" showColumnStripes="0"/>
</table>
</file>

<file path=xl/tables/table39.xml><?xml version="1.0" encoding="utf-8"?>
<table xmlns="http://schemas.openxmlformats.org/spreadsheetml/2006/main" id="39" name="tbl_RAW_Collections" displayName="tbl_RAW_Collections" ref="B11:D12" headerRowCount="1">
  <autoFilter ref="B11:D12"/>
  <tableColumns count="3">
    <tableColumn id="2" name="CollectionID"/>
    <tableColumn id="3" name="Title"/>
    <tableColumn id="4" name="Handle"/>
  </tableColumns>
  <tableStyleInfo name="TableStyleLight1" showFirstColumn="0" showLastColumn="0" showRowStripes="0" showColumnStripes="0"/>
</table>
</file>

<file path=xl/tables/table40.xml><?xml version="1.0" encoding="utf-8"?>
<table xmlns="http://schemas.openxmlformats.org/spreadsheetml/2006/main" id="40" name="tbl_RAW_Discounts" displayName="tbl_RAW_Discounts" ref="B11:M12" headerRowCount="1">
  <autoFilter ref="B11:M12"/>
  <tableColumns count="12">
    <tableColumn id="2" name="DiscountNodeID"/>
    <tableColumn id="3" name="Typename"/>
    <tableColumn id="4" name="Title"/>
    <tableColumn id="5" name="Status"/>
    <tableColumn id="6" name="Summary"/>
    <tableColumn id="7" name="Code"/>
    <tableColumn id="8" name="StartsAt"/>
    <tableColumn id="9" name="EndsAt"/>
    <tableColumn id="10" name="UsageLimit"/>
    <tableColumn id="11" name="AsyncUsageCount"/>
    <tableColumn id="12" name="CreatedAt"/>
    <tableColumn id="13" name="UpdatedAt"/>
  </tableColumns>
  <tableStyleInfo name="TableStyleLight1" showFirstColumn="0" showLastColumn="0" showRowStripes="0" showColumnStripes="0"/>
</table>
</file>

<file path=xl/tables/table41.xml><?xml version="1.0" encoding="utf-8"?>
<table xmlns="http://schemas.openxmlformats.org/spreadsheetml/2006/main" id="41" name="tbl_DIM_Date" displayName="tbl_DIM_Date" ref="B11:L12" headerRowCount="1">
  <autoFilter ref="B11:L12"/>
  <tableColumns count="11">
    <tableColumn id="2" name="DateKey"/>
    <tableColumn id="3" name="Date"/>
    <tableColumn id="4" name="Year"/>
    <tableColumn id="5" name="FiscalYear"/>
    <tableColumn id="6" name="Quarter"/>
    <tableColumn id="7" name="Month"/>
    <tableColumn id="8" name="MonthName"/>
    <tableColumn id="9" name="Week"/>
    <tableColumn id="10" name="Day"/>
    <tableColumn id="11" name="DayName"/>
    <tableColumn id="12" name="IsWeekend"/>
  </tableColumns>
  <tableStyleInfo name="TableStyleLight1" showFirstColumn="0" showLastColumn="0" showRowStripes="0" showColumnStripes="0"/>
</table>
</file>

<file path=xl/tables/table42.xml><?xml version="1.0" encoding="utf-8"?>
<table xmlns="http://schemas.openxmlformats.org/spreadsheetml/2006/main" id="42" name="tbl_DIM_Product" displayName="tbl_DIM_Product" ref="B11:J12" headerRowCount="1">
  <autoFilter ref="B11:J12"/>
  <tableColumns count="9">
    <tableColumn id="2" name="ProductKey"/>
    <tableColumn id="3" name="ProductID"/>
    <tableColumn id="4" name="SKU"/>
    <tableColumn id="5" name="Title"/>
    <tableColumn id="6" name="ProductType"/>
    <tableColumn id="7" name="Vendor"/>
    <tableColumn id="8" name="Collection"/>
    <tableColumn id="9" name="UnitCost"/>
    <tableColumn id="10" name="Status"/>
  </tableColumns>
  <tableStyleInfo name="TableStyleLight1" showFirstColumn="0" showLastColumn="0" showRowStripes="0" showColumnStripes="0"/>
</table>
</file>

<file path=xl/tables/table43.xml><?xml version="1.0" encoding="utf-8"?>
<table xmlns="http://schemas.openxmlformats.org/spreadsheetml/2006/main" id="43" name="tbl_DIM_Customer" displayName="tbl_DIM_Customer" ref="B11:H12" headerRowCount="1">
  <autoFilter ref="B11:H12"/>
  <tableColumns count="7">
    <tableColumn id="2" name="CustomerKey"/>
    <tableColumn id="3" name="CustomerID"/>
    <tableColumn id="4" name="Name"/>
    <tableColumn id="5" name="Email"/>
    <tableColumn id="6" name="Country"/>
    <tableColumn id="7" name="FirstOrderDate"/>
    <tableColumn id="8" name="CustomerSegment"/>
  </tableColumns>
  <tableStyleInfo name="TableStyleLight1" showFirstColumn="0" showLastColumn="0" showRowStripes="0" showColumnStripes="0"/>
</table>
</file>

<file path=xl/tables/table44.xml><?xml version="1.0" encoding="utf-8"?>
<table xmlns="http://schemas.openxmlformats.org/spreadsheetml/2006/main" id="44" name="tbl_DIM_Location" displayName="tbl_DIM_Location" ref="B11:F12" headerRowCount="1">
  <autoFilter ref="B11:F12"/>
  <tableColumns count="5">
    <tableColumn id="2" name="LocationKey"/>
    <tableColumn id="3" name="LocationID"/>
    <tableColumn id="4" name="LocationName"/>
    <tableColumn id="5" name="City"/>
    <tableColumn id="6" name="Country"/>
  </tableColumns>
  <tableStyleInfo name="TableStyleLight1" showFirstColumn="0" showLastColumn="0" showRowStripes="0" showColumnStripes="0"/>
</table>
</file>

<file path=xl/tables/table45.xml><?xml version="1.0" encoding="utf-8"?>
<table xmlns="http://schemas.openxmlformats.org/spreadsheetml/2006/main" id="45" name="tbl_DIM_Collection" displayName="tbl_DIM_Collection" ref="B11:E12" headerRowCount="1">
  <autoFilter ref="B11:E12"/>
  <tableColumns count="4">
    <tableColumn id="2" name="CollectionKey"/>
    <tableColumn id="3" name="CollectionID"/>
    <tableColumn id="4" name="Title"/>
    <tableColumn id="5" name="Handle"/>
  </tableColumns>
  <tableStyleInfo name="TableStyleLight1" showFirstColumn="0" showLastColumn="0" showRowStripes="0" showColumnStripes="0"/>
</table>
</file>

<file path=xl/tables/table46.xml><?xml version="1.0" encoding="utf-8"?>
<table xmlns="http://schemas.openxmlformats.org/spreadsheetml/2006/main" id="46" name="tbl_DIM_Parameters" displayName="tbl_DIM_Parameters" ref="B11:C12" headerRowCount="1">
  <autoFilter ref="B11:C12"/>
  <tableColumns count="2">
    <tableColumn id="2" name="ParameterName"/>
    <tableColumn id="3" name="ParameterValue"/>
  </tableColumns>
  <tableStyleInfo name="TableStyleLight1" showFirstColumn="0" showLastColumn="0" showRowStripes="0" showColumnStripes="0"/>
</table>
</file>

<file path=xl/tables/table47.xml><?xml version="1.0" encoding="utf-8"?>
<table xmlns="http://schemas.openxmlformats.org/spreadsheetml/2006/main" id="47" name="tbl_DIM_Supplier" displayName="tbl_DIM_Supplier" ref="B11:G12" headerRowCount="1">
  <autoFilter ref="B11:G12"/>
  <tableColumns count="6">
    <tableColumn id="2" name="SupplierKey"/>
    <tableColumn id="3" name="SupplierID"/>
    <tableColumn id="4" name="SupplierName"/>
    <tableColumn id="5" name="SupplierType"/>
    <tableColumn id="6" name="Currency"/>
    <tableColumn id="7" name="Status"/>
  </tableColumns>
  <tableStyleInfo name="TableStyleLight1" showFirstColumn="0" showLastColumn="0" showRowStripes="0" showColumnStripes="0"/>
</table>
</file>

<file path=xl/tables/table48.xml><?xml version="1.0" encoding="utf-8"?>
<table xmlns="http://schemas.openxmlformats.org/spreadsheetml/2006/main" id="48" name="tbl_DIM_ProductCostHistory" displayName="tbl_DIM_ProductCostHistory" ref="B11:J12" headerRowCount="1">
  <autoFilter ref="B11:J12"/>
  <tableColumns count="9">
    <tableColumn id="2" name="CostKey"/>
    <tableColumn id="3" name="SKU"/>
    <tableColumn id="4" name="Collection"/>
    <tableColumn id="5" name="TotalLandedCost"/>
    <tableColumn id="6" name="SellingPrice"/>
    <tableColumn id="7" name="ExpectedGrossMarginPct"/>
    <tableColumn id="8" name="EffectiveFromDate"/>
    <tableColumn id="9" name="EffectiveToDate"/>
    <tableColumn id="10" name="ActiveFlag"/>
  </tableColumns>
  <tableStyleInfo name="TableStyleLight1" showFirstColumn="0" showLastColumn="0" showRowStripes="0" showColumnStripes="0"/>
</table>
</file>

<file path=xl/tables/table49.xml><?xml version="1.0" encoding="utf-8"?>
<table xmlns="http://schemas.openxmlformats.org/spreadsheetml/2006/main" id="49" name="tbl_FACT_OrderLines" displayName="tbl_FACT_OrderLines" ref="B11:P12" headerRowCount="1">
  <autoFilter ref="B11:P12"/>
  <tableColumns count="15">
    <tableColumn id="2" name="OrderLineKey"/>
    <tableColumn id="3" name="OrderID"/>
    <tableColumn id="4" name="DateKey"/>
    <tableColumn id="5" name="ProductKey"/>
    <tableColumn id="6" name="CustomerKey"/>
    <tableColumn id="7" name="LocationKey"/>
    <tableColumn id="8" name="Quantity"/>
    <tableColumn id="9" name="UnitPrice"/>
    <tableColumn id="10" name="GrossAmount"/>
    <tableColumn id="11" name="DiscountAmount"/>
    <tableColumn id="12" name="TaxAmount"/>
    <tableColumn id="13" name="NetAmount"/>
    <tableColumn id="14" name="UnitCost"/>
    <tableColumn id="15" name="COGS"/>
    <tableColumn id="16" name="MissingCostFlag"/>
  </tableColumns>
  <tableStyleInfo name="TableStyleLight1" showFirstColumn="0" showLastColumn="0" showRowStripes="0" showColumnStripes="0"/>
</table>
</file>

<file path=xl/tables/table50.xml><?xml version="1.0" encoding="utf-8"?>
<table xmlns="http://schemas.openxmlformats.org/spreadsheetml/2006/main" id="50" name="tbl_FACT_Refunds" displayName="tbl_FACT_Refunds" ref="B11:F12" headerRowCount="1">
  <autoFilter ref="B11:F12"/>
  <tableColumns count="5">
    <tableColumn id="2" name="RefundKey"/>
    <tableColumn id="3" name="OrderLineKey"/>
    <tableColumn id="4" name="DateKey"/>
    <tableColumn id="5" name="Quantity"/>
    <tableColumn id="6" name="RefundAmount"/>
  </tableColumns>
  <tableStyleInfo name="TableStyleLight1" showFirstColumn="0" showLastColumn="0" showRowStripes="0" showColumnStripes="0"/>
</table>
</file>

<file path=xl/tables/table51.xml><?xml version="1.0" encoding="utf-8"?>
<table xmlns="http://schemas.openxmlformats.org/spreadsheetml/2006/main" id="51" name="tbl_FACT_InventoryMovements" displayName="tbl_FACT_InventoryMovements" ref="B11:H12" headerRowCount="1">
  <autoFilter ref="B11:H12"/>
  <tableColumns count="7">
    <tableColumn id="2" name="MovementKey"/>
    <tableColumn id="3" name="DateKey"/>
    <tableColumn id="4" name="ProductKey"/>
    <tableColumn id="5" name="LocationKey"/>
    <tableColumn id="6" name="MovementType"/>
    <tableColumn id="7" name="QuantityChange"/>
    <tableColumn id="8" name="ResultingOnHand"/>
  </tableColumns>
  <tableStyleInfo name="TableStyleLight1" showFirstColumn="0" showLastColumn="0" showRowStripes="0" showColumnStripes="0"/>
</table>
</file>

<file path=xl/tables/table52.xml><?xml version="1.0" encoding="utf-8"?>
<table xmlns="http://schemas.openxmlformats.org/spreadsheetml/2006/main" id="52" name="tbl_FACT_Payments" displayName="tbl_FACT_Payments" ref="B11:H12" headerRowCount="1">
  <autoFilter ref="B11:H12"/>
  <tableColumns count="7">
    <tableColumn id="2" name="PaymentKey"/>
    <tableColumn id="3" name="OrderID"/>
    <tableColumn id="4" name="DateKey"/>
    <tableColumn id="5" name="PaymentMethod"/>
    <tableColumn id="6" name="Currency"/>
    <tableColumn id="7" name="Amount"/>
    <tableColumn id="8" name="PresentmentAmount"/>
  </tableColumns>
  <tableStyleInfo name="TableStyleLight1" showFirstColumn="0" showLastColumn="0" showRowStripes="0" showColumnStripes="0"/>
</table>
</file>

<file path=xl/tables/table53.xml><?xml version="1.0" encoding="utf-8"?>
<table xmlns="http://schemas.openxmlformats.org/spreadsheetml/2006/main" id="53" name="tbl_FACT_ManualExpenses" displayName="tbl_FACT_ManualExpenses" ref="B11:N12" headerRowCount="1">
  <autoFilter ref="B11:N12"/>
  <tableColumns count="13">
    <tableColumn id="2" name="ExpenseKey"/>
    <tableColumn id="3" name="DateKey"/>
    <tableColumn id="4" name="ExpenseDate"/>
    <tableColumn id="5" name="ExpenseCategory"/>
    <tableColumn id="6" name="ExpenseSubcategory"/>
    <tableColumn id="7" name="SupplierID"/>
    <tableColumn id="8" name="Amount"/>
    <tableColumn id="9" name="Currency"/>
    <tableColumn id="10" name="PaymentMethod"/>
    <tableColumn id="11" name="RelatedCollection"/>
    <tableColumn id="12" name="RelatedSKU"/>
    <tableColumn id="13" name="CostCenter"/>
    <tableColumn id="14" name="InvoiceNumber"/>
  </tableColumns>
  <tableStyleInfo name="TableStyleLight1" showFirstColumn="0" showLastColumn="0" showRowStripes="0" showColumnStripes="0"/>
</table>
</file>

<file path=xl/tables/table54.xml><?xml version="1.0" encoding="utf-8"?>
<table xmlns="http://schemas.openxmlformats.org/spreadsheetml/2006/main" id="54" name="tbl_FACT_CapitalTransactions" displayName="tbl_FACT_CapitalTransactions" ref="B11:G12" headerRowCount="1">
  <autoFilter ref="B11:G12"/>
  <tableColumns count="6">
    <tableColumn id="2" name="CapitalKey"/>
    <tableColumn id="3" name="DateKey"/>
    <tableColumn id="4" name="Date"/>
    <tableColumn id="5" name="Owner"/>
    <tableColumn id="6" name="TransactionType"/>
    <tableColumn id="7" name="Amount"/>
  </tableColumns>
  <tableStyleInfo name="TableStyleLight1" showFirstColumn="0" showLastColumn="0" showRowStripes="0" showColumnStripes="0"/>
</table>
</file>

<file path=xl/tables/table55.xml><?xml version="1.0" encoding="utf-8"?>
<table xmlns="http://schemas.openxmlformats.org/spreadsheetml/2006/main" id="55" name="tbl_FACT_PurchaseOrderHeader" displayName="tbl_FACT_PurchaseOrderHeader" ref="B11:H12" headerRowCount="1">
  <autoFilter ref="B11:H12"/>
  <tableColumns count="7">
    <tableColumn id="2" name="PONumber"/>
    <tableColumn id="3" name="DateKey"/>
    <tableColumn id="4" name="SupplierID"/>
    <tableColumn id="5" name="OrderDate"/>
    <tableColumn id="6" name="ExpectedDeliveryDate"/>
    <tableColumn id="7" name="Status"/>
    <tableColumn id="8" name="Currency"/>
  </tableColumns>
  <tableStyleInfo name="TableStyleLight1" showFirstColumn="0" showLastColumn="0" showRowStripes="0" showColumnStripes="0"/>
</table>
</file>

<file path=xl/tables/table56.xml><?xml version="1.0" encoding="utf-8"?>
<table xmlns="http://schemas.openxmlformats.org/spreadsheetml/2006/main" id="56" name="tbl_FACT_PurchaseOrderLines" displayName="tbl_FACT_PurchaseOrderLines" ref="B11:F12" headerRowCount="1">
  <autoFilter ref="B11:F12"/>
  <tableColumns count="5">
    <tableColumn id="2" name="PONumber"/>
    <tableColumn id="3" name="SKU"/>
    <tableColumn id="4" name="QuantityOrdered"/>
    <tableColumn id="5" name="UnitCost"/>
    <tableColumn id="6" name="TotalCost"/>
  </tableColumns>
  <tableStyleInfo name="TableStyleLight1" showFirstColumn="0" showLastColumn="0" showRowStripes="0" showColumnStripes="0"/>
</table>
</file>

<file path=xl/tables/table57.xml><?xml version="1.0" encoding="utf-8"?>
<table xmlns="http://schemas.openxmlformats.org/spreadsheetml/2006/main" id="57" name="tbl_FACT_GoodsReceipt" displayName="tbl_FACT_GoodsReceipt" ref="B11:J12" headerRowCount="1">
  <autoFilter ref="B11:J12"/>
  <tableColumns count="9">
    <tableColumn id="2" name="PONumber"/>
    <tableColumn id="3" name="DateKey"/>
    <tableColumn id="4" name="SKU"/>
    <tableColumn id="5" name="GoodsReceivedDate"/>
    <tableColumn id="6" name="QuantityReceived"/>
    <tableColumn id="7" name="RemainingQuantity"/>
    <tableColumn id="8" name="ActualUnitCost"/>
    <tableColumn id="9" name="VarianceFromPO"/>
    <tableColumn id="10" name="Warehouse"/>
  </tableColumns>
  <tableStyleInfo name="TableStyleLight1" showFirstColumn="0" showLastColumn="0" showRowStripes="0" showColumnStripes="0"/>
</table>
</file>

<file path=xl/tables/table58.xml><?xml version="1.0" encoding="utf-8"?>
<table xmlns="http://schemas.openxmlformats.org/spreadsheetml/2006/main" id="58" name="tbl_LOG_RefreshHistory" displayName="tbl_LOG_RefreshHistory" ref="B11:I12" headerRowCount="1">
  <autoFilter ref="B11:I12"/>
  <tableColumns count="8">
    <tableColumn id="2" name="RefreshID"/>
    <tableColumn id="3" name="Timestamp"/>
    <tableColumn id="4" name="Source"/>
    <tableColumn id="5" name="RowsLoaded"/>
    <tableColumn id="6" name="RowsUpdated"/>
    <tableColumn id="7" name="Errors"/>
    <tableColumn id="8" name="DurationSeconds"/>
    <tableColumn id="9" name="TriggeredBy"/>
  </tableColumns>
  <tableStyleInfo name="TableStyleLight1" showFirstColumn="0" showLastColumn="0" showRowStripes="0" showColumnStripes="0"/>
</table>
</file>

<file path=xl/tables/table59.xml><?xml version="1.0" encoding="utf-8"?>
<table xmlns="http://schemas.openxmlformats.org/spreadsheetml/2006/main" id="59" name="tbl_LOG_DataQuality" displayName="tbl_LOG_DataQuality" ref="B11:G12" headerRowCount="1">
  <autoFilter ref="B11:G12"/>
  <tableColumns count="6">
    <tableColumn id="2" name="CheckID"/>
    <tableColumn id="3" name="Timestamp"/>
    <tableColumn id="4" name="CheckName"/>
    <tableColumn id="5" name="TableName"/>
    <tableColumn id="6" name="Status"/>
    <tableColumn id="7" name="Details"/>
  </tableColumns>
  <tableStyleInfo name="TableStyleLight1" showFirstColumn="0" showLastColumn="0" showRowStripes="0" showColumnStripes="0"/>
</table>
</file>

<file path=xl/tables/table60.xml><?xml version="1.0" encoding="utf-8"?>
<table xmlns="http://schemas.openxmlformats.org/spreadsheetml/2006/main" id="60" name="tbl_RAW_MetaAds" displayName="tbl_RAW_MetaAds" ref="B11:I12" headerRowCount="1">
  <autoFilter ref="B11:I12"/>
  <tableColumns count="8">
    <tableColumn id="2" name="DateKey"/>
    <tableColumn id="3" name="CampaignID"/>
    <tableColumn id="4" name="CampaignName"/>
    <tableColumn id="5" name="Spend"/>
    <tableColumn id="6" name="Impressions"/>
    <tableColumn id="7" name="Clicks"/>
    <tableColumn id="8" name="Conversions"/>
    <tableColumn id="9" name="Currency"/>
  </tableColumns>
  <tableStyleInfo name="TableStyleLight1" showFirstColumn="0" showLastColumn="0" showRowStripes="0" showColumnStripes="0"/>
</table>
</file>

<file path=xl/tables/table61.xml><?xml version="1.0" encoding="utf-8"?>
<table xmlns="http://schemas.openxmlformats.org/spreadsheetml/2006/main" id="61" name="tbl_RAW_GoogleAnalytics" displayName="tbl_RAW_GoogleAnalytics" ref="B11:I12" headerRowCount="1">
  <autoFilter ref="B11:I12"/>
  <tableColumns count="8">
    <tableColumn id="2" name="DateKey"/>
    <tableColumn id="3" name="CampaignID"/>
    <tableColumn id="4" name="CampaignName"/>
    <tableColumn id="5" name="Spend"/>
    <tableColumn id="6" name="Impressions"/>
    <tableColumn id="7" name="Clicks"/>
    <tableColumn id="8" name="Conversions"/>
    <tableColumn id="9" name="Currency"/>
  </tableColumns>
  <tableStyleInfo name="TableStyleLight1" showFirstColumn="0" showLastColumn="0" showRowStripes="0" showColumnStripes="0"/>
</table>
</file>

<file path=xl/tables/table62.xml><?xml version="1.0" encoding="utf-8"?>
<table xmlns="http://schemas.openxmlformats.org/spreadsheetml/2006/main" id="62" name="tbl_RAW_GoogleAds" displayName="tbl_RAW_GoogleAds" ref="B11:I12" headerRowCount="1">
  <autoFilter ref="B11:I12"/>
  <tableColumns count="8">
    <tableColumn id="2" name="DateKey"/>
    <tableColumn id="3" name="CampaignID"/>
    <tableColumn id="4" name="CampaignName"/>
    <tableColumn id="5" name="Spend"/>
    <tableColumn id="6" name="Impressions"/>
    <tableColumn id="7" name="Clicks"/>
    <tableColumn id="8" name="Conversions"/>
    <tableColumn id="9" name="Currency"/>
  </tableColumns>
  <tableStyleInfo name="TableStyleLight1" showFirstColumn="0" showLastColumn="0" showRowStripes="0" showColumnStripes="0"/>
</table>
</file>

<file path=xl/tables/table63.xml><?xml version="1.0" encoding="utf-8"?>
<table xmlns="http://schemas.openxmlformats.org/spreadsheetml/2006/main" id="63" name="tbl_RAW_TikTokAds" displayName="tbl_RAW_TikTokAds" ref="B11:I12" headerRowCount="1">
  <autoFilter ref="B11:I12"/>
  <tableColumns count="8">
    <tableColumn id="2" name="DateKey"/>
    <tableColumn id="3" name="CampaignID"/>
    <tableColumn id="4" name="CampaignName"/>
    <tableColumn id="5" name="Spend"/>
    <tableColumn id="6" name="Impressions"/>
    <tableColumn id="7" name="Clicks"/>
    <tableColumn id="8" name="Conversions"/>
    <tableColumn id="9" name="Currency"/>
  </tableColumns>
  <tableStyleInfo name="TableStyleLight1" showFirstColumn="0" showLastColumn="0" showRowStripes="0" showColumnStripes="0"/>
</table>
</file>

<file path=xl/tables/table64.xml><?xml version="1.0" encoding="utf-8"?>
<table xmlns="http://schemas.openxmlformats.org/spreadsheetml/2006/main" id="64" name="tbl_RAW_EmailMarketing" displayName="tbl_RAW_EmailMarketing" ref="B11:I12" headerRowCount="1">
  <autoFilter ref="B11:I12"/>
  <tableColumns count="8">
    <tableColumn id="2" name="DateKey"/>
    <tableColumn id="3" name="CampaignID"/>
    <tableColumn id="4" name="CampaignName"/>
    <tableColumn id="5" name="Spend"/>
    <tableColumn id="6" name="Impressions"/>
    <tableColumn id="7" name="Clicks"/>
    <tableColumn id="8" name="Conversions"/>
    <tableColumn id="9" name="Currency"/>
  </tableColumns>
  <tableStyleInfo name="TableStyleLight1" showFirstColumn="0" showLastColumn="0" showRowStripes="0" showColumnStripes="0"/>
</table>
</file>

<file path=xl/tables/table65.xml><?xml version="1.0" encoding="utf-8"?>
<table xmlns="http://schemas.openxmlformats.org/spreadsheetml/2006/main" id="65" name="tbl_RAW_InfluencerCampaigns" displayName="tbl_RAW_InfluencerCampaigns" ref="B11:I12" headerRowCount="1">
  <autoFilter ref="B11:I12"/>
  <tableColumns count="8">
    <tableColumn id="2" name="DateKey"/>
    <tableColumn id="3" name="CampaignID"/>
    <tableColumn id="4" name="CampaignName"/>
    <tableColumn id="5" name="Spend"/>
    <tableColumn id="6" name="Impressions"/>
    <tableColumn id="7" name="Clicks"/>
    <tableColumn id="8" name="Conversions"/>
    <tableColumn id="9" name="Currency"/>
  </tableColumns>
  <tableStyleInfo name="TableStyleLight1" showFirstColumn="0" showLastColumn="0" showRowStripes="0" showColumnStripes="0"/>
</table>
</file>

<file path=xl/tables/table66.xml><?xml version="1.0" encoding="utf-8"?>
<table xmlns="http://schemas.openxmlformats.org/spreadsheetml/2006/main" id="66" name="tbl_FACT_MarketingSpend" displayName="tbl_FACT_MarketingSpend" ref="B11:H12" headerRowCount="1">
  <autoFilter ref="B11:H12"/>
  <tableColumns count="7">
    <tableColumn id="2" name="DateKey"/>
    <tableColumn id="3" name="ChannelName"/>
    <tableColumn id="4" name="CampaignID"/>
    <tableColumn id="5" name="CampaignName"/>
    <tableColumn id="6" name="Spend"/>
    <tableColumn id="7" name="Conversions"/>
    <tableColumn id="8" name="Currency"/>
  </tableColumns>
  <tableStyleInfo name="TableStyleLight1" showFirstColumn="0" showLastColumn="0" showRowStripes="0" showColumnStripes="0"/>
</table>
</file>

<file path=xl/tables/table67.xml><?xml version="1.0" encoding="utf-8"?>
<table xmlns="http://schemas.openxmlformats.org/spreadsheetml/2006/main" id="67" name="tbl_FUTURE_AI_Insights" displayName="tbl_FUTURE_AI_Insights" ref="B11:E12" headerRowCount="1">
  <autoFilter ref="B11:E12"/>
  <tableColumns count="4">
    <tableColumn id="2" name="FeatureName"/>
    <tableColumn id="3" name="Status"/>
    <tableColumn id="4" name="Description"/>
    <tableColumn id="5" name="WouldReplaceOrEnrich"/>
  </tableColumns>
  <tableStyleInfo name="TableStyleLight1" showFirstColumn="0" showLastColumn="0" showRowStripes="0" showColumnStripes="0"/>
</table>
</file>

<file path=xl/tables/table68.xml><?xml version="1.0" encoding="utf-8"?>
<table xmlns="http://schemas.openxmlformats.org/spreadsheetml/2006/main" id="68" name="tbl_BI_Insights" displayName="tbl_BI_Insights" ref="B11:E12" headerRowCount="1">
  <autoFilter ref="B11:E12"/>
  <tableColumns count="4">
    <tableColumn id="2" name="InsightID"/>
    <tableColumn id="3" name="Category"/>
    <tableColumn id="4" name="InsightText"/>
    <tableColumn id="5" name="Severity"/>
  </tableColumns>
  <tableStyleInfo name="TableStyleLight1" showFirstColumn="0" showLastColumn="0" showRowStripes="0" showColumnStripes="0"/>
</table>
</file>

<file path=xl/tables/table69.xml><?xml version="1.0" encoding="utf-8"?>
<table xmlns="http://schemas.openxmlformats.org/spreadsheetml/2006/main" id="69" name="tbl_BI_Alerts" displayName="tbl_BI_Alerts" ref="B11:F12" headerRowCount="1">
  <autoFilter ref="B11:F12"/>
  <tableColumns count="5">
    <tableColumn id="2" name="AlertID"/>
    <tableColumn id="3" name="AlertName"/>
    <tableColumn id="4" name="Condition"/>
    <tableColumn id="5" name="Status"/>
    <tableColumn id="6" name="Severity"/>
  </tableColumns>
  <tableStyleInfo name="TableStyleLight1" showFirstColumn="0" showLastColumn="0" showRowStripes="0" showColumnStripes="0"/>
</table>
</file>

<file path=xl/tables/table70.xml><?xml version="1.0" encoding="utf-8"?>
<table xmlns="http://schemas.openxmlformats.org/spreadsheetml/2006/main" id="70" name="tbl_BI_Forecast" displayName="tbl_BI_Forecast" ref="B11:E12" headerRowCount="1">
  <autoFilter ref="B11:E12"/>
  <tableColumns count="4">
    <tableColumn id="2" name="Metric"/>
    <tableColumn id="3" name="Method"/>
    <tableColumn id="4" name="ForecastPeriod"/>
    <tableColumn id="5" name="ForecastValue"/>
  </tableColumns>
  <tableStyleInfo name="TableStyleLight1" showFirstColumn="0" showLastColumn="0" showRowStripes="0" showColumnStripes="0"/>
</table>
</file>

<file path=xl/tables/table71.xml><?xml version="1.0" encoding="utf-8"?>
<table xmlns="http://schemas.openxmlformats.org/spreadsheetml/2006/main" id="71" name="tbl_BI_HealthScore" displayName="tbl_BI_HealthScore" ref="B11:E12" headerRowCount="1">
  <autoFilter ref="B11:E12"/>
  <tableColumns count="4">
    <tableColumn id="2" name="Component"/>
    <tableColumn id="3" name="Score (0-100)"/>
    <tableColumn id="4" name="Weight"/>
    <tableColumn id="5" name="Weighted Contribution"/>
  </tableColumns>
  <tableStyleInfo name="TableStyleLight1" showFirstColumn="0" showLastColumn="0" showRowStripes="0" showColumnStripes="0"/>
</table>
</file>

<file path=xl/tables/table72.xml><?xml version="1.0" encoding="utf-8"?>
<table xmlns="http://schemas.openxmlformats.org/spreadsheetml/2006/main" id="72" name="tbl_RPT_Workflow" displayName="tbl_RPT_Workflow" ref="B11:D12" headerRowCount="1">
  <autoFilter ref="B11:D12"/>
  <tableColumns count="3">
    <tableColumn id="2" name="Metric"/>
    <tableColumn id="3" name="Value"/>
    <tableColumn id="4" name="Note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2_Partner_Dashboard'!A1" TargetMode="External" Id="rId1" /><Relationship Type="http://schemas.openxmlformats.org/officeDocument/2006/relationships/hyperlink" Target="#'03_CEO_Dashboard'!A1" TargetMode="External" Id="rId2" /><Relationship Type="http://schemas.openxmlformats.org/officeDocument/2006/relationships/hyperlink" Target="#'04_Sales'!A1" TargetMode="External" Id="rId3" /><Relationship Type="http://schemas.openxmlformats.org/officeDocument/2006/relationships/hyperlink" Target="#'05_Products'!A1" TargetMode="External" Id="rId4" /><Relationship Type="http://schemas.openxmlformats.org/officeDocument/2006/relationships/hyperlink" Target="#'06_Customers'!A1" TargetMode="External" Id="rId5" /><Relationship Type="http://schemas.openxmlformats.org/officeDocument/2006/relationships/hyperlink" Target="#'07_Inventory'!A1" TargetMode="External" Id="rId6" /><Relationship Type="http://schemas.openxmlformats.org/officeDocument/2006/relationships/hyperlink" Target="#'08_Finance'!A1" TargetMode="External" Id="rId7" /><Relationship Type="http://schemas.openxmlformats.org/officeDocument/2006/relationships/hyperlink" Target="#'09_Profitability'!A1" TargetMode="External" Id="rId8" /><Relationship Type="http://schemas.openxmlformats.org/officeDocument/2006/relationships/hyperlink" Target="#'10_Expenses'!A1" TargetMode="External" Id="rId9" /><Relationship Type="http://schemas.openxmlformats.org/officeDocument/2006/relationships/hyperlink" Target="#'11_Capital'!A1" TargetMode="External" Id="rId10" /><Relationship Type="http://schemas.openxmlformats.org/officeDocument/2006/relationships/hyperlink" Target="#'12_Suppliers'!A1" TargetMode="External" Id="rId11" /><Relationship Type="http://schemas.openxmlformats.org/officeDocument/2006/relationships/hyperlink" Target="#'13_Marketing'!A1" TargetMode="External" Id="rId12" /><Relationship Type="http://schemas.openxmlformats.org/officeDocument/2006/relationships/hyperlink" Target="#'14_Data_Quality'!A1" TargetMode="External" Id="rId13" /><Relationship Type="http://schemas.openxmlformats.org/officeDocument/2006/relationships/hyperlink" Target="#'15_Settings'!A1" TargetMode="External" Id="rId14" /><Relationship Type="http://schemas.openxmlformats.org/officeDocument/2006/relationships/hyperlink" Target="#'RPT_ExecutiveBrief'!A1" TargetMode="External" Id="rId15" /><Relationship Type="http://schemas.openxmlformats.org/officeDocument/2006/relationships/hyperlink" Target="#'RPT_Workflow'!A1" TargetMode="External" Id="rId16" /></Relationships>
</file>

<file path=xl/worksheets/_rels/sheet2.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hyperlink" Target="#'04_Sales'!A1" TargetMode="External" Id="rId2" /><Relationship Type="http://schemas.openxmlformats.org/officeDocument/2006/relationships/drawing" Target="/xl/drawings/drawing1.xml" Id="rId3" /></Relationships>
</file>

<file path=xl/worksheets/_rels/sheet3.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hyperlink" Target="#'04_Sales'!A1" TargetMode="External" Id="rId2" /><Relationship Type="http://schemas.openxmlformats.org/officeDocument/2006/relationships/hyperlink" Target="#'06_Customers'!A1" TargetMode="External" Id="rId3" /><Relationship Type="http://schemas.openxmlformats.org/officeDocument/2006/relationships/hyperlink" Target="#'07_Inventory'!A1" TargetMode="External" Id="rId4" /><Relationship Type="http://schemas.openxmlformats.org/officeDocument/2006/relationships/hyperlink" Target="#'09_Profitability'!A1" TargetMode="External" Id="rId5" /><Relationship Type="http://schemas.openxmlformats.org/officeDocument/2006/relationships/hyperlink" Target="#'10_Expenses'!A1" TargetMode="External" Id="rId6" /></Relationships>
</file>

<file path=xl/worksheets/_rels/sheet4.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hyperlink" Target="#'RAW_Orders'!A1" TargetMode="External" Id="rId2" /><Relationship Type="http://schemas.openxmlformats.org/officeDocument/2006/relationships/drawing" Target="/xl/drawings/drawing2.xml" Id="rId3" /></Relationships>
</file>

<file path=xl/worksheets/_rels/sheet5.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hyperlink" Target="#'DIM_Product'!A1" TargetMode="External" Id="rId2" /><Relationship Type="http://schemas.openxmlformats.org/officeDocument/2006/relationships/drawing" Target="/xl/drawings/drawing3.xml" Id="rId3" /><Relationship Type="http://schemas.openxmlformats.org/officeDocument/2006/relationships/table" Target="/xl/tables/table1.xml" Id="rId4" /></Relationships>
</file>

<file path=xl/worksheets/_rels/sheet6.xml.rels><Relationships xmlns="http://schemas.openxmlformats.org/package/2006/relationships"><Relationship Type="http://schemas.openxmlformats.org/officeDocument/2006/relationships/hyperlink" Target="#'01_Home'!A1" TargetMode="External" Id="rId1" /></Relationships>
</file>

<file path=xl/worksheets/_rels/sheet7.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drawing" Target="/xl/drawings/drawing4.xml" Id="rId2" /></Relationships>
</file>

<file path=xl/worksheets/_rels/sheet8.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drawing" Target="/xl/drawings/drawing5.xml" Id="rId2" /><Relationship Type="http://schemas.openxmlformats.org/officeDocument/2006/relationships/table" Target="/xl/tables/table2.xml" Id="rId3" /></Relationships>
</file>

<file path=xl/worksheets/_rels/sheet9.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drawing" Target="/xl/drawings/drawing6.xml" Id="rId2" /></Relationships>
</file>

<file path=xl/worksheets/_rels/sheet10.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xml" Id="rId2" /></Relationships>
</file>

<file path=xl/worksheets/_rels/sheet11.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xml" Id="rId2" /></Relationships>
</file>

<file path=xl/worksheets/_rels/sheet12.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xml" Id="rId2" /><Relationship Type="http://schemas.openxmlformats.org/officeDocument/2006/relationships/table" Target="/xl/tables/table6.xml" Id="rId3" /><Relationship Type="http://schemas.openxmlformats.org/officeDocument/2006/relationships/table" Target="/xl/tables/table7.xml" Id="rId4" /><Relationship Type="http://schemas.openxmlformats.org/officeDocument/2006/relationships/table" Target="/xl/tables/table8.xml" Id="rId5" /></Relationships>
</file>

<file path=xl/worksheets/_rels/sheet13.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hyperlink" Target="#'RAW_Discounts'!A1" TargetMode="External" Id="rId2" /><Relationship Type="http://schemas.openxmlformats.org/officeDocument/2006/relationships/drawing" Target="/xl/drawings/drawing7.xml" Id="rId3" /></Relationships>
</file>

<file path=xl/worksheets/_rels/sheet14.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drawing" Target="/xl/drawings/drawing8.xml" Id="rId2" /><Relationship Type="http://schemas.openxmlformats.org/officeDocument/2006/relationships/table" Target="/xl/tables/table9.xml" Id="rId3" /><Relationship Type="http://schemas.openxmlformats.org/officeDocument/2006/relationships/table" Target="/xl/tables/table10.xml" Id="rId4" /><Relationship Type="http://schemas.openxmlformats.org/officeDocument/2006/relationships/table" Target="/xl/tables/table11.xml" Id="rId5" /></Relationships>
</file>

<file path=xl/worksheets/_rels/sheet15.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 Type="http://schemas.openxmlformats.org/officeDocument/2006/relationships/table" Target="/xl/tables/table16.xml" Id="rId6" /><Relationship Type="http://schemas.openxmlformats.org/officeDocument/2006/relationships/table" Target="/xl/tables/table17.xml" Id="rId7" /><Relationship Type="http://schemas.openxmlformats.org/officeDocument/2006/relationships/table" Target="/xl/tables/table18.xml" Id="rId8" /><Relationship Type="http://schemas.openxmlformats.org/officeDocument/2006/relationships/table" Target="/xl/tables/table19.xml" Id="rId9" /><Relationship Type="http://schemas.openxmlformats.org/officeDocument/2006/relationships/table" Target="/xl/tables/table20.xml" Id="rId10" /><Relationship Type="http://schemas.openxmlformats.org/officeDocument/2006/relationships/table" Target="/xl/tables/table21.xml" Id="rId11" /><Relationship Type="http://schemas.openxmlformats.org/officeDocument/2006/relationships/table" Target="/xl/tables/table22.xml" Id="rId12" /><Relationship Type="http://schemas.openxmlformats.org/officeDocument/2006/relationships/table" Target="/xl/tables/table23.xml" Id="rId13" /><Relationship Type="http://schemas.openxmlformats.org/officeDocument/2006/relationships/table" Target="/xl/tables/table24.xml" Id="rId14" /><Relationship Type="http://schemas.openxmlformats.org/officeDocument/2006/relationships/table" Target="/xl/tables/table25.xml" Id="rId15" /><Relationship Type="http://schemas.openxmlformats.org/officeDocument/2006/relationships/table" Target="/xl/tables/table26.xml" Id="rId16" /><Relationship Type="http://schemas.openxmlformats.org/officeDocument/2006/relationships/table" Target="/xl/tables/table27.xml" Id="rId17" /><Relationship Type="http://schemas.openxmlformats.org/officeDocument/2006/relationships/table" Target="/xl/tables/table28.xml" Id="rId18" /><Relationship Type="http://schemas.openxmlformats.org/officeDocument/2006/relationships/table" Target="/xl/tables/table29.xml" Id="rId19" /><Relationship Type="http://schemas.openxmlformats.org/officeDocument/2006/relationships/table" Target="/xl/tables/table30.xml" Id="rId20" /></Relationships>
</file>

<file path=xl/worksheets/_rels/sheet16.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1.xml" Id="rId2" /></Relationships>
</file>

<file path=xl/worksheets/_rels/sheet17.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2.xml" Id="rId2" /></Relationships>
</file>

<file path=xl/worksheets/_rels/sheet18.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3.xml" Id="rId2" /></Relationships>
</file>

<file path=xl/worksheets/_rels/sheet19.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4.xml" Id="rId2" /></Relationships>
</file>

<file path=xl/worksheets/_rels/sheet20.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5.xml" Id="rId2" /></Relationships>
</file>

<file path=xl/worksheets/_rels/sheet21.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6.xml" Id="rId2" /></Relationships>
</file>

<file path=xl/worksheets/_rels/sheet22.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7.xml" Id="rId2" /></Relationships>
</file>

<file path=xl/worksheets/_rels/sheet23.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8.xml" Id="rId2" /></Relationships>
</file>

<file path=xl/worksheets/_rels/sheet24.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39.xml" Id="rId2" /></Relationships>
</file>

<file path=xl/worksheets/_rels/sheet25.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0.xml" Id="rId2" /></Relationships>
</file>

<file path=xl/worksheets/_rels/sheet26.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1.xml" Id="rId2" /></Relationships>
</file>

<file path=xl/worksheets/_rels/sheet27.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2.xml" Id="rId2" /></Relationships>
</file>

<file path=xl/worksheets/_rels/sheet28.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3.xml" Id="rId2" /></Relationships>
</file>

<file path=xl/worksheets/_rels/sheet29.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4.xml" Id="rId2" /></Relationships>
</file>

<file path=xl/worksheets/_rels/sheet30.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5.xml" Id="rId2" /></Relationships>
</file>

<file path=xl/worksheets/_rels/sheet31.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6.xml" Id="rId2" /></Relationships>
</file>

<file path=xl/worksheets/_rels/sheet32.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7.xml" Id="rId2" /></Relationships>
</file>

<file path=xl/worksheets/_rels/sheet33.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8.xml" Id="rId2" /></Relationships>
</file>

<file path=xl/worksheets/_rels/sheet34.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49.xml" Id="rId2" /></Relationships>
</file>

<file path=xl/worksheets/_rels/sheet35.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0.xml" Id="rId2" /></Relationships>
</file>

<file path=xl/worksheets/_rels/sheet36.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1.xml" Id="rId2" /></Relationships>
</file>

<file path=xl/worksheets/_rels/sheet37.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2.xml" Id="rId2" /></Relationships>
</file>

<file path=xl/worksheets/_rels/sheet38.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3.xml" Id="rId2" /></Relationships>
</file>

<file path=xl/worksheets/_rels/sheet39.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4.xml" Id="rId2" /></Relationships>
</file>

<file path=xl/worksheets/_rels/sheet40.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5.xml" Id="rId2" /></Relationships>
</file>

<file path=xl/worksheets/_rels/sheet41.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6.xml" Id="rId2" /></Relationships>
</file>

<file path=xl/worksheets/_rels/sheet42.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7.xml" Id="rId2" /></Relationships>
</file>

<file path=xl/worksheets/_rels/sheet43.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8.xml" Id="rId2" /></Relationships>
</file>

<file path=xl/worksheets/_rels/sheet44.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59.xml" Id="rId2" /></Relationships>
</file>

<file path=xl/worksheets/_rels/sheet45.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0.xml" Id="rId2" /></Relationships>
</file>

<file path=xl/worksheets/_rels/sheet46.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1.xml" Id="rId2" /></Relationships>
</file>

<file path=xl/worksheets/_rels/sheet47.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2.xml" Id="rId2" /></Relationships>
</file>

<file path=xl/worksheets/_rels/sheet48.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3.xml" Id="rId2" /></Relationships>
</file>

<file path=xl/worksheets/_rels/sheet49.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4.xml" Id="rId2" /></Relationships>
</file>

<file path=xl/worksheets/_rels/sheet50.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5.xml" Id="rId2" /></Relationships>
</file>

<file path=xl/worksheets/_rels/sheet51.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6.xml" Id="rId2" /></Relationships>
</file>

<file path=xl/worksheets/_rels/sheet52.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7.xml" Id="rId2" /></Relationships>
</file>

<file path=xl/worksheets/_rels/sheet53.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8.xml" Id="rId2" /></Relationships>
</file>

<file path=xl/worksheets/_rels/sheet54.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69.xml" Id="rId2" /></Relationships>
</file>

<file path=xl/worksheets/_rels/sheet55.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70.xml" Id="rId2" /></Relationships>
</file>

<file path=xl/worksheets/_rels/sheet56.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table" Target="/xl/tables/table71.xml" Id="rId2" /></Relationships>
</file>

<file path=xl/worksheets/_rels/sheet57.xml.rels><Relationships xmlns="http://schemas.openxmlformats.org/package/2006/relationships"><Relationship Type="http://schemas.openxmlformats.org/officeDocument/2006/relationships/hyperlink" Target="#'01_Home'!A1" TargetMode="External" Id="rId1" /></Relationships>
</file>

<file path=xl/worksheets/_rels/sheet58.xml.rels><Relationships xmlns="http://schemas.openxmlformats.org/package/2006/relationships"><Relationship Type="http://schemas.openxmlformats.org/officeDocument/2006/relationships/hyperlink" Target="#'01_Home'!A1" TargetMode="External" Id="rId1" /><Relationship Type="http://schemas.openxmlformats.org/officeDocument/2006/relationships/drawing" Target="/xl/drawings/drawing9.xml" Id="rId2" /><Relationship Type="http://schemas.openxmlformats.org/officeDocument/2006/relationships/table" Target="/xl/tables/table72.xml" Id="rId3" /></Relationships>
</file>

<file path=xl/worksheets/sheet1.xml><?xml version="1.0" encoding="utf-8"?>
<worksheet xmlns="http://schemas.openxmlformats.org/spreadsheetml/2006/main">
  <sheetPr>
    <tabColor rgb="00000000"/>
    <outlinePr applyStyles="1" summaryBelow="0" summaryRight="1"/>
    <pageSetUpPr/>
  </sheetPr>
  <dimension ref="A1:N38"/>
  <sheetViews>
    <sheetView showGridLines="0" workbookViewId="0">
      <pane ySplit="10" topLeftCell="A11"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34" customHeight="1">
      <c r="A1" s="1" t="inlineStr">
        <is>
          <t>PASSRESS MIS — Home</t>
        </is>
      </c>
    </row>
    <row r="2" ht="16" customHeight="1">
      <c r="A2" s="2" t="inlineStr">
        <is>
          <t>PASSRESS MIS   |   Home</t>
        </is>
      </c>
    </row>
    <row r="3" ht="14" customHeight="1">
      <c r="A3" s="3" t="inlineStr">
        <is>
          <t>Sheet Documentation  (use the  +  outline control at left to expand)</t>
        </is>
      </c>
    </row>
    <row r="4" hidden="1" outlineLevel="1" ht="13" customHeight="1">
      <c r="A4" s="4" t="inlineStr">
        <is>
          <t>Purpose</t>
        </is>
      </c>
      <c r="B4" s="5" t="inlineStr">
        <is>
          <t>Landing page and navigation hub for the entire workbook.</t>
        </is>
      </c>
    </row>
    <row r="5" hidden="1" outlineLevel="1" ht="13" customHeight="1">
      <c r="A5" s="4" t="inlineStr">
        <is>
          <t>Input tables</t>
        </is>
      </c>
      <c r="B5" s="5" t="inlineStr">
        <is>
          <t>None — display only.</t>
        </is>
      </c>
    </row>
    <row r="6" hidden="1" outlineLevel="1" ht="13" customHeight="1">
      <c r="A6" s="4" t="inlineStr">
        <is>
          <t>Output tables</t>
        </is>
      </c>
      <c r="B6" s="5" t="inlineStr">
        <is>
          <t>None.</t>
        </is>
      </c>
    </row>
    <row r="7" hidden="1" outlineLevel="1" ht="13" customHeight="1">
      <c r="A7" s="4" t="inlineStr">
        <is>
          <t>Relationships</t>
        </is>
      </c>
      <c r="B7" s="5" t="inlineStr">
        <is>
          <t>Links to all 14 other visible sheets. Reads workbook status from LOG_RefreshHistory and LOG_DataQuality.</t>
        </is>
      </c>
    </row>
    <row r="8" hidden="1" outlineLevel="1" ht="13" customHeight="1">
      <c r="A8" s="4" t="inlineStr">
        <is>
          <t>Future data source</t>
        </is>
      </c>
      <c r="B8" s="5" t="inlineStr">
        <is>
          <t>LOG_RefreshHistory (last refresh timestamp), LOG_DataQuality (overall status) — wired in Phase 2/4.</t>
        </is>
      </c>
    </row>
    <row r="9" hidden="1" outlineLevel="1"/>
    <row r="10" ht="6" customHeight="1"/>
    <row r="11" ht="15" customHeight="1">
      <c r="B11" s="6" t="inlineStr">
        <is>
          <t>LAST REFRESH</t>
        </is>
      </c>
      <c r="C11" s="7" t="n"/>
      <c r="D11" s="6" t="inlineStr">
        <is>
          <t>DATA QUALITY</t>
        </is>
      </c>
      <c r="E11" s="7" t="n"/>
      <c r="F11" s="6" t="inlineStr">
        <is>
          <t>WORKBOOK VERSION</t>
        </is>
      </c>
      <c r="G11" s="7" t="n"/>
      <c r="H11" s="6" t="inlineStr">
        <is>
          <t>PHASE COMPLETED</t>
        </is>
      </c>
      <c r="I11" s="7" t="n"/>
    </row>
    <row r="12" ht="22" customHeight="1">
      <c r="B12" s="8">
        <f>IFERROR(TEXT(MAX(tbl_LOG_RefreshHistory[Timestamp]),"dd-mmm hh:mm"),"—")</f>
        <v/>
      </c>
      <c r="C12" s="7" t="n"/>
      <c r="D12" s="9">
        <f>IFERROR(TEXT(OverallDataQualityPct,"0.0%"),"—")</f>
        <v/>
      </c>
      <c r="E12" s="7" t="n"/>
      <c r="F12" s="9">
        <f>INDEX(tbl_VersionLog[Version],COUNTA(tbl_VersionLog[Version]))</f>
        <v/>
      </c>
      <c r="G12" s="7" t="n"/>
      <c r="H12" s="10">
        <f>INDEX(tbl_VersionLog[Phase],COUNTA(tbl_VersionLog[Phase]))</f>
        <v/>
      </c>
      <c r="I12" s="7" t="n"/>
    </row>
    <row r="13" ht="22" customHeight="1">
      <c r="B13" s="7" t="n"/>
      <c r="C13" s="7" t="n"/>
      <c r="D13" s="7" t="n"/>
      <c r="E13" s="7" t="n"/>
      <c r="F13" s="7" t="n"/>
      <c r="G13" s="7" t="n"/>
      <c r="H13" s="7" t="n"/>
      <c r="I13" s="7" t="n"/>
    </row>
    <row r="15">
      <c r="B15" s="11" t="inlineStr">
        <is>
          <t>NAVIGATION</t>
        </is>
      </c>
    </row>
    <row r="16" ht="18" customHeight="1">
      <c r="B16" s="12" t="inlineStr">
        <is>
          <t>02
Partner Dashboard</t>
        </is>
      </c>
      <c r="C16" s="7" t="n"/>
      <c r="D16" s="12" t="inlineStr">
        <is>
          <t>03
CEO Dashboard</t>
        </is>
      </c>
      <c r="E16" s="7" t="n"/>
      <c r="F16" s="12" t="inlineStr">
        <is>
          <t>04
Sales</t>
        </is>
      </c>
      <c r="G16" s="7" t="n"/>
      <c r="H16" s="12" t="inlineStr">
        <is>
          <t>05
Products</t>
        </is>
      </c>
      <c r="I16" s="7" t="n"/>
    </row>
    <row r="17" ht="18" customHeight="1">
      <c r="B17" s="7" t="n"/>
      <c r="C17" s="7" t="n"/>
      <c r="D17" s="7" t="n"/>
      <c r="E17" s="7" t="n"/>
      <c r="F17" s="7" t="n"/>
      <c r="G17" s="7" t="n"/>
      <c r="H17" s="7" t="n"/>
      <c r="I17" s="7" t="n"/>
    </row>
    <row r="19" ht="18" customHeight="1">
      <c r="B19" s="12" t="inlineStr">
        <is>
          <t>06
Customers</t>
        </is>
      </c>
      <c r="C19" s="7" t="n"/>
      <c r="D19" s="12" t="inlineStr">
        <is>
          <t>07
Inventory</t>
        </is>
      </c>
      <c r="E19" s="7" t="n"/>
      <c r="F19" s="12" t="inlineStr">
        <is>
          <t>08
Finance</t>
        </is>
      </c>
      <c r="G19" s="7" t="n"/>
      <c r="H19" s="12" t="inlineStr">
        <is>
          <t>09
Profitability</t>
        </is>
      </c>
      <c r="I19" s="7" t="n"/>
    </row>
    <row r="20" ht="18" customHeight="1">
      <c r="B20" s="7" t="n"/>
      <c r="C20" s="7" t="n"/>
      <c r="D20" s="7" t="n"/>
      <c r="E20" s="7" t="n"/>
      <c r="F20" s="7" t="n"/>
      <c r="G20" s="7" t="n"/>
      <c r="H20" s="7" t="n"/>
      <c r="I20" s="7" t="n"/>
    </row>
    <row r="22" ht="18" customHeight="1">
      <c r="B22" s="12" t="inlineStr">
        <is>
          <t>10
Expenses</t>
        </is>
      </c>
      <c r="C22" s="7" t="n"/>
      <c r="D22" s="12" t="inlineStr">
        <is>
          <t>11
Capital</t>
        </is>
      </c>
      <c r="E22" s="7" t="n"/>
      <c r="F22" s="12" t="inlineStr">
        <is>
          <t>12
Suppliers</t>
        </is>
      </c>
      <c r="G22" s="7" t="n"/>
      <c r="H22" s="12" t="inlineStr">
        <is>
          <t>13
Marketing</t>
        </is>
      </c>
      <c r="I22" s="7" t="n"/>
    </row>
    <row r="23" ht="18" customHeight="1">
      <c r="B23" s="7" t="n"/>
      <c r="C23" s="7" t="n"/>
      <c r="D23" s="7" t="n"/>
      <c r="E23" s="7" t="n"/>
      <c r="F23" s="7" t="n"/>
      <c r="G23" s="7" t="n"/>
      <c r="H23" s="7" t="n"/>
      <c r="I23" s="7" t="n"/>
    </row>
    <row r="25" ht="18" customHeight="1">
      <c r="B25" s="12" t="inlineStr">
        <is>
          <t>14
Data Quality</t>
        </is>
      </c>
      <c r="C25" s="7" t="n"/>
      <c r="D25" s="12" t="inlineStr">
        <is>
          <t>15
Settings</t>
        </is>
      </c>
      <c r="E25" s="7" t="n"/>
    </row>
    <row r="26" ht="18" customHeight="1">
      <c r="B26" s="7" t="n"/>
      <c r="C26" s="7" t="n"/>
      <c r="D26" s="7" t="n"/>
      <c r="E26" s="7" t="n"/>
    </row>
    <row r="30">
      <c r="B30" s="11" t="inlineStr">
        <is>
          <t>GLOBAL FILTERS  (orange cells = type or choose 'All')</t>
        </is>
      </c>
    </row>
    <row r="31" ht="14" customHeight="1">
      <c r="B31" s="13" t="inlineStr">
        <is>
          <t>Date From</t>
        </is>
      </c>
      <c r="D31" s="13" t="inlineStr">
        <is>
          <t>Date To</t>
        </is>
      </c>
      <c r="F31" s="13" t="inlineStr">
        <is>
          <t>Collection</t>
        </is>
      </c>
      <c r="H31" s="13" t="inlineStr">
        <is>
          <t>SKU</t>
        </is>
      </c>
      <c r="J31" s="13" t="inlineStr">
        <is>
          <t>Supplier</t>
        </is>
      </c>
      <c r="L31" s="13" t="inlineStr">
        <is>
          <t>Location</t>
        </is>
      </c>
      <c r="N31" s="13" t="inlineStr">
        <is>
          <t>Campaign</t>
        </is>
      </c>
    </row>
    <row r="32" ht="18" customHeight="1">
      <c r="B32" s="14" t="inlineStr">
        <is>
          <t>2026-01-01</t>
        </is>
      </c>
      <c r="D32" s="14" t="inlineStr">
        <is>
          <t>2026-12-31</t>
        </is>
      </c>
      <c r="F32" s="14" t="inlineStr">
        <is>
          <t>All</t>
        </is>
      </c>
      <c r="H32" s="14" t="inlineStr">
        <is>
          <t>All</t>
        </is>
      </c>
      <c r="J32" s="14" t="inlineStr">
        <is>
          <t>All</t>
        </is>
      </c>
      <c r="L32" s="14" t="inlineStr">
        <is>
          <t>All</t>
        </is>
      </c>
      <c r="N32" s="14" t="inlineStr">
        <is>
          <t>All (reserved — see Marketing-Ready Layer, not connected yet)</t>
        </is>
      </c>
    </row>
    <row r="34">
      <c r="B34" s="11" t="inlineStr">
        <is>
          <t>REPORTS &amp; TOOLS  (hidden sheets — click to open, or right-click any tab → Unhide)</t>
        </is>
      </c>
    </row>
    <row r="35">
      <c r="B35" s="15" t="inlineStr">
        <is>
          <t>→  Daily Executive Brief</t>
        </is>
      </c>
    </row>
    <row r="36">
      <c r="B36" s="15" t="inlineStr">
        <is>
          <t>→  Workflow Dashboard</t>
        </is>
      </c>
    </row>
    <row r="38">
      <c r="B38" s="16" t="inlineStr">
        <is>
          <t>Phase 6 build. See 15_Settings' Version Log for the full phase history and roadmap. Data shown on dashboards resolves once the Data Model is wired — see power-query/README.md and dax/README.md.</t>
        </is>
      </c>
    </row>
  </sheetData>
  <sheetProtection selectLockedCells="0" selectUnlockedCells="0" sheet="1" objects="0" insertRows="0" insertHyperlinks="1" autoFilter="1" scenarios="0" formatColumns="0" deleteColumns="0" insertColumns="0" pivotTables="0" deleteRows="0" formatCells="0" formatRows="0" sort="1" password="C24F"/>
  <mergeCells count="32">
    <mergeCell ref="B4:L4"/>
    <mergeCell ref="F11:G11"/>
    <mergeCell ref="F22:G23"/>
    <mergeCell ref="D16:E17"/>
    <mergeCell ref="H22:I23"/>
    <mergeCell ref="B7:L7"/>
    <mergeCell ref="B19:C20"/>
    <mergeCell ref="D12:E13"/>
    <mergeCell ref="H19:I20"/>
    <mergeCell ref="A3:L3"/>
    <mergeCell ref="H16:I17"/>
    <mergeCell ref="B36:E36"/>
    <mergeCell ref="A2:L2"/>
    <mergeCell ref="D25:E26"/>
    <mergeCell ref="H12:I13"/>
    <mergeCell ref="B35:E35"/>
    <mergeCell ref="B11:C11"/>
    <mergeCell ref="D11:E11"/>
    <mergeCell ref="D19:E20"/>
    <mergeCell ref="F19:G20"/>
    <mergeCell ref="B8:L8"/>
    <mergeCell ref="H11:I11"/>
    <mergeCell ref="B22:C23"/>
    <mergeCell ref="B16:C17"/>
    <mergeCell ref="B25:C26"/>
    <mergeCell ref="F16:G17"/>
    <mergeCell ref="D22:E23"/>
    <mergeCell ref="B12:C13"/>
    <mergeCell ref="B6:L6"/>
    <mergeCell ref="F12:G13"/>
    <mergeCell ref="A1:L1"/>
    <mergeCell ref="B5:L5"/>
  </mergeCells>
  <dataValidations count="3">
    <dataValidation sqref="F32" showDropDown="0" showInputMessage="1" showErrorMessage="1" allowBlank="1" errorTitle="Invalid entry" error="Please choose a value from the Collection list — free text isn't accepted here." promptTitle="Collection" prompt="Choose a Collection, or 'All'." type="list" errorStyle="stop">
      <formula1>=CollectionTitleList</formula1>
    </dataValidation>
    <dataValidation sqref="H32" showDropDown="0" showInputMessage="1" showErrorMessage="1" allowBlank="1" errorTitle="Invalid entry" error="Please choose a value from the SKU list — free text isn't accepted here." promptTitle="SKU" prompt="Choose a SKU, or 'All'." type="list" errorStyle="stop">
      <formula1>=SKUList</formula1>
    </dataValidation>
    <dataValidation sqref="J32" showDropDown="0" showInputMessage="1" showErrorMessage="1" allowBlank="1" errorTitle="Invalid entry" error="Please choose a value from the Supplier list — free text isn't accepted here." promptTitle="Supplier" prompt="Choose a Supplier, or 'All'." type="list" errorStyle="stop">
      <formula1>=SupplierNameList</formula1>
    </dataValidation>
  </dataValidations>
  <hyperlinks>
    <hyperlink xmlns:r="http://schemas.openxmlformats.org/officeDocument/2006/relationships" ref="B16" r:id="rId1"/>
    <hyperlink xmlns:r="http://schemas.openxmlformats.org/officeDocument/2006/relationships" ref="D16" r:id="rId2"/>
    <hyperlink xmlns:r="http://schemas.openxmlformats.org/officeDocument/2006/relationships" ref="F16" r:id="rId3"/>
    <hyperlink xmlns:r="http://schemas.openxmlformats.org/officeDocument/2006/relationships" ref="H16" r:id="rId4"/>
    <hyperlink xmlns:r="http://schemas.openxmlformats.org/officeDocument/2006/relationships" ref="B19" r:id="rId5"/>
    <hyperlink xmlns:r="http://schemas.openxmlformats.org/officeDocument/2006/relationships" ref="D19" r:id="rId6"/>
    <hyperlink xmlns:r="http://schemas.openxmlformats.org/officeDocument/2006/relationships" ref="F19" r:id="rId7"/>
    <hyperlink xmlns:r="http://schemas.openxmlformats.org/officeDocument/2006/relationships" ref="H19" r:id="rId8"/>
    <hyperlink xmlns:r="http://schemas.openxmlformats.org/officeDocument/2006/relationships" ref="B22" r:id="rId9"/>
    <hyperlink xmlns:r="http://schemas.openxmlformats.org/officeDocument/2006/relationships" ref="D22" r:id="rId10"/>
    <hyperlink xmlns:r="http://schemas.openxmlformats.org/officeDocument/2006/relationships" ref="F22" r:id="rId11"/>
    <hyperlink xmlns:r="http://schemas.openxmlformats.org/officeDocument/2006/relationships" ref="H22" r:id="rId12"/>
    <hyperlink xmlns:r="http://schemas.openxmlformats.org/officeDocument/2006/relationships" ref="B25" r:id="rId13"/>
    <hyperlink xmlns:r="http://schemas.openxmlformats.org/officeDocument/2006/relationships" ref="D25" r:id="rId14"/>
    <hyperlink xmlns:r="http://schemas.openxmlformats.org/officeDocument/2006/relationships" ref="B35" r:id="rId15"/>
    <hyperlink xmlns:r="http://schemas.openxmlformats.org/officeDocument/2006/relationships" ref="B36" r:id="rId16"/>
  </hyperlinks>
  <pageMargins left="0.75" right="0.75" top="1" bottom="1" header="0.5" footer="0.5"/>
</worksheet>
</file>

<file path=xl/worksheets/sheet2.xml><?xml version="1.0" encoding="utf-8"?>
<worksheet xmlns="http://schemas.openxmlformats.org/spreadsheetml/2006/main">
  <sheetPr>
    <tabColor rgb="001F4E78"/>
    <outlinePr applyStyles="1" summaryBelow="0" summaryRight="1"/>
    <pageSetUpPr fitToPage="1"/>
  </sheetPr>
  <dimension ref="A1:N50"/>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Partner Dashboard</t>
        </is>
      </c>
    </row>
    <row r="2" ht="16" customHeight="1">
      <c r="A2" s="17" t="inlineStr">
        <is>
          <t>PASSRESS MIS   |   Home ▸ Partner Dashboard</t>
        </is>
      </c>
    </row>
    <row r="3" ht="14" customHeight="1">
      <c r="A3" s="3" t="inlineStr">
        <is>
          <t>Sheet Documentation  (use the  +  outline control at left to expand)</t>
        </is>
      </c>
    </row>
    <row r="4" hidden="1" outlineLevel="1" ht="13" customHeight="1">
      <c r="A4" s="4" t="inlineStr">
        <is>
          <t>Purpose</t>
        </is>
      </c>
      <c r="B4" s="5" t="inlineStr">
        <is>
          <t>Executive view for business partners — the headline numbers only, no operational drill-down. Simple, beautiful, minimal by design.</t>
        </is>
      </c>
    </row>
    <row r="5" hidden="1" outlineLevel="1" ht="13" customHeight="1">
      <c r="A5" s="4" t="inlineStr">
        <is>
          <t>Input tables</t>
        </is>
      </c>
      <c r="B5" s="5" t="inlineStr">
        <is>
          <t>The Data Model (dax/MEASURES.md, dax/PHASE5_MEASURES_ADDENDUM.md) via CUBEVALUE/CUBESET — no PivotTable required.</t>
        </is>
      </c>
    </row>
    <row r="6" hidden="1" outlineLevel="1" ht="13" customHeight="1">
      <c r="A6" s="4" t="inlineStr">
        <is>
          <t>Output tables</t>
        </is>
      </c>
      <c r="B6" s="5" t="inlineStr">
        <is>
          <t>5 KPI cards, one 12-month trend chart, a live Top 5 Products list, Key Insights (from BI_Insights).</t>
        </is>
      </c>
    </row>
    <row r="7" hidden="1" outlineLevel="1" ht="13" customHeight="1">
      <c r="A7" s="4" t="inlineStr">
        <is>
          <t>Relationships</t>
        </is>
      </c>
      <c r="B7" s="5" t="inlineStr">
        <is>
          <t>Reads the Data Model directly; BI_Insights supplies the insight text shown here.</t>
        </is>
      </c>
    </row>
    <row r="8" hidden="1" outlineLevel="1" ht="13" customHeight="1">
      <c r="A8" s="4" t="inlineStr">
        <is>
          <t>Future data source</t>
        </is>
      </c>
      <c r="B8" s="5" t="inlineStr">
        <is>
          <t>Already live: every number resolves once the Data Model + measures are wired — see power-query/README.md and dax/README.md. Until then, cards show 0 and the chart is flat — expected, not an error.</t>
        </is>
      </c>
    </row>
    <row r="9" hidden="1" outlineLevel="1"/>
    <row r="10" ht="6" customHeight="1"/>
    <row r="11" ht="15" customHeight="1">
      <c r="B11" s="6" t="inlineStr">
        <is>
          <t>REVENUE</t>
        </is>
      </c>
      <c r="C11" s="7" t="n"/>
      <c r="D11" s="6" t="inlineStr">
        <is>
          <t>NET PROFIT</t>
        </is>
      </c>
      <c r="E11" s="7" t="n"/>
      <c r="F11" s="6" t="inlineStr">
        <is>
          <t>MARGIN %</t>
        </is>
      </c>
      <c r="G11" s="7" t="n"/>
      <c r="H11" s="6" t="inlineStr">
        <is>
          <t>CASH POSITION</t>
        </is>
      </c>
      <c r="I11" s="7" t="n"/>
      <c r="J11" s="6" t="inlineStr">
        <is>
          <t>ORDERS</t>
        </is>
      </c>
      <c r="K11" s="7" t="n"/>
    </row>
    <row r="12" ht="22" customHeight="1">
      <c r="B12" s="18">
        <f>CUBEVALUE("ThisWorkbookDataModel","[Measures].[Net Sales]")</f>
        <v/>
      </c>
      <c r="C12" s="7" t="n"/>
      <c r="D12" s="18">
        <f>CUBEVALUE("ThisWorkbookDataModel","[Measures].[Net Profit]")</f>
        <v/>
      </c>
      <c r="E12" s="7" t="n"/>
      <c r="F12" s="19">
        <f>CUBEVALUE("ThisWorkbookDataModel","[Measures].[Gross Margin %]")</f>
        <v/>
      </c>
      <c r="G12" s="7" t="n"/>
      <c r="H12" s="18">
        <f>CUBEVALUE("ThisWorkbookDataModel","[Measures].[Cash Position (Direct, Cumulative)]")</f>
        <v/>
      </c>
      <c r="I12" s="7" t="n"/>
      <c r="J12" s="18">
        <f>CUBEVALUE("ThisWorkbookDataModel","[Measures].[Order Count]")</f>
        <v/>
      </c>
      <c r="K12" s="7" t="n"/>
    </row>
    <row r="13" ht="22" customHeight="1">
      <c r="B13" s="7" t="n"/>
      <c r="C13" s="7" t="n"/>
      <c r="D13" s="7" t="n"/>
      <c r="E13" s="7" t="n"/>
      <c r="F13" s="7" t="n"/>
      <c r="G13" s="7" t="n"/>
      <c r="H13" s="7" t="n"/>
      <c r="I13" s="7" t="n"/>
      <c r="J13" s="7" t="n"/>
      <c r="K13" s="7" t="n"/>
    </row>
    <row r="15">
      <c r="B15" s="20" t="inlineStr">
        <is>
          <t>↓ Drill into Sales</t>
        </is>
      </c>
    </row>
    <row r="17">
      <c r="B17" s="11" t="inlineStr">
        <is>
          <t>MONTHLY TREND — NET SALES</t>
        </is>
      </c>
    </row>
    <row r="18">
      <c r="B18" s="13" t="inlineStr">
        <is>
          <t>Net Sales — trailing 12 months</t>
        </is>
      </c>
    </row>
    <row r="19">
      <c r="C19" s="21">
        <f>TEXT(EDATE(TODAY(),-11),"mmm-yy")</f>
        <v/>
      </c>
      <c r="D19" s="21">
        <f>TEXT(EDATE(TODAY(),-10),"mmm-yy")</f>
        <v/>
      </c>
      <c r="E19" s="21">
        <f>TEXT(EDATE(TODAY(),-9),"mmm-yy")</f>
        <v/>
      </c>
      <c r="F19" s="21">
        <f>TEXT(EDATE(TODAY(),-8),"mmm-yy")</f>
        <v/>
      </c>
      <c r="G19" s="21">
        <f>TEXT(EDATE(TODAY(),-7),"mmm-yy")</f>
        <v/>
      </c>
      <c r="H19" s="21">
        <f>TEXT(EDATE(TODAY(),-6),"mmm-yy")</f>
        <v/>
      </c>
      <c r="I19" s="21">
        <f>TEXT(EDATE(TODAY(),-5),"mmm-yy")</f>
        <v/>
      </c>
      <c r="J19" s="21">
        <f>TEXT(EDATE(TODAY(),-4),"mmm-yy")</f>
        <v/>
      </c>
      <c r="K19" s="21">
        <f>TEXT(EDATE(TODAY(),-3),"mmm-yy")</f>
        <v/>
      </c>
      <c r="L19" s="21">
        <f>TEXT(EDATE(TODAY(),-2),"mmm-yy")</f>
        <v/>
      </c>
      <c r="M19" s="21">
        <f>TEXT(EDATE(TODAY(),-1),"mmm-yy")</f>
        <v/>
      </c>
      <c r="N19" s="21">
        <f>TEXT(EDATE(TODAY(),0),"mmm-yy")</f>
        <v/>
      </c>
    </row>
    <row r="20">
      <c r="C20" s="22">
        <f>CUBEVALUE("ThisWorkbookDataModel","[Measures].[Net Sales]","[DIM_Date].[Year].&amp;["&amp;YEAR(EDATE(TODAY(),-11))&amp;"]","[DIM_Date].[Month].&amp;["&amp;MONTH(EDATE(TODAY(),-11))&amp;"]")</f>
        <v/>
      </c>
      <c r="D20" s="22">
        <f>CUBEVALUE("ThisWorkbookDataModel","[Measures].[Net Sales]","[DIM_Date].[Year].&amp;["&amp;YEAR(EDATE(TODAY(),-10))&amp;"]","[DIM_Date].[Month].&amp;["&amp;MONTH(EDATE(TODAY(),-10))&amp;"]")</f>
        <v/>
      </c>
      <c r="E20" s="22">
        <f>CUBEVALUE("ThisWorkbookDataModel","[Measures].[Net Sales]","[DIM_Date].[Year].&amp;["&amp;YEAR(EDATE(TODAY(),-9))&amp;"]","[DIM_Date].[Month].&amp;["&amp;MONTH(EDATE(TODAY(),-9))&amp;"]")</f>
        <v/>
      </c>
      <c r="F20" s="22">
        <f>CUBEVALUE("ThisWorkbookDataModel","[Measures].[Net Sales]","[DIM_Date].[Year].&amp;["&amp;YEAR(EDATE(TODAY(),-8))&amp;"]","[DIM_Date].[Month].&amp;["&amp;MONTH(EDATE(TODAY(),-8))&amp;"]")</f>
        <v/>
      </c>
      <c r="G20" s="22">
        <f>CUBEVALUE("ThisWorkbookDataModel","[Measures].[Net Sales]","[DIM_Date].[Year].&amp;["&amp;YEAR(EDATE(TODAY(),-7))&amp;"]","[DIM_Date].[Month].&amp;["&amp;MONTH(EDATE(TODAY(),-7))&amp;"]")</f>
        <v/>
      </c>
      <c r="H20" s="22">
        <f>CUBEVALUE("ThisWorkbookDataModel","[Measures].[Net Sales]","[DIM_Date].[Year].&amp;["&amp;YEAR(EDATE(TODAY(),-6))&amp;"]","[DIM_Date].[Month].&amp;["&amp;MONTH(EDATE(TODAY(),-6))&amp;"]")</f>
        <v/>
      </c>
      <c r="I20" s="22">
        <f>CUBEVALUE("ThisWorkbookDataModel","[Measures].[Net Sales]","[DIM_Date].[Year].&amp;["&amp;YEAR(EDATE(TODAY(),-5))&amp;"]","[DIM_Date].[Month].&amp;["&amp;MONTH(EDATE(TODAY(),-5))&amp;"]")</f>
        <v/>
      </c>
      <c r="J20" s="22">
        <f>CUBEVALUE("ThisWorkbookDataModel","[Measures].[Net Sales]","[DIM_Date].[Year].&amp;["&amp;YEAR(EDATE(TODAY(),-4))&amp;"]","[DIM_Date].[Month].&amp;["&amp;MONTH(EDATE(TODAY(),-4))&amp;"]")</f>
        <v/>
      </c>
      <c r="K20" s="22">
        <f>CUBEVALUE("ThisWorkbookDataModel","[Measures].[Net Sales]","[DIM_Date].[Year].&amp;["&amp;YEAR(EDATE(TODAY(),-3))&amp;"]","[DIM_Date].[Month].&amp;["&amp;MONTH(EDATE(TODAY(),-3))&amp;"]")</f>
        <v/>
      </c>
      <c r="L20" s="22">
        <f>CUBEVALUE("ThisWorkbookDataModel","[Measures].[Net Sales]","[DIM_Date].[Year].&amp;["&amp;YEAR(EDATE(TODAY(),-2))&amp;"]","[DIM_Date].[Month].&amp;["&amp;MONTH(EDATE(TODAY(),-2))&amp;"]")</f>
        <v/>
      </c>
      <c r="M20" s="22">
        <f>CUBEVALUE("ThisWorkbookDataModel","[Measures].[Net Sales]","[DIM_Date].[Year].&amp;["&amp;YEAR(EDATE(TODAY(),-1))&amp;"]","[DIM_Date].[Month].&amp;["&amp;MONTH(EDATE(TODAY(),-1))&amp;"]")</f>
        <v/>
      </c>
      <c r="N20" s="22">
        <f>CUBEVALUE("ThisWorkbookDataModel","[Measures].[Net Sales]","[DIM_Date].[Year].&amp;["&amp;YEAR(EDATE(TODAY(),0))&amp;"]","[DIM_Date].[Month].&amp;["&amp;MONTH(EDATE(TODAY(),0))&amp;"]")</f>
        <v/>
      </c>
    </row>
    <row r="38">
      <c r="B38" s="11" t="inlineStr">
        <is>
          <t>TOP 5 PRODUCTS  (by Net Sales)</t>
        </is>
      </c>
    </row>
    <row r="39">
      <c r="B39" s="11" t="inlineStr">
        <is>
          <t>Top 5 Products</t>
        </is>
      </c>
      <c r="F39" s="23">
        <f>CUBESET("ThisWorkbookDataModel","{[DIM_Product].[Title].Children}","Top 5 Products","BDESC","[Measures].[Net Sales]")</f>
        <v/>
      </c>
    </row>
    <row r="40">
      <c r="B40" s="24">
        <f>CUBERANKEDMEMBER("ThisWorkbookDataModel",$F$39,1)</f>
        <v/>
      </c>
      <c r="D40" s="25">
        <f>CUBEVALUE("ThisWorkbookDataModel","[Measures].[Net Sales]",CUBERANKEDMEMBER("ThisWorkbookDataModel",$F$39,1))</f>
        <v/>
      </c>
    </row>
    <row r="41">
      <c r="B41" s="24">
        <f>CUBERANKEDMEMBER("ThisWorkbookDataModel",$F$39,2)</f>
        <v/>
      </c>
      <c r="D41" s="25">
        <f>CUBEVALUE("ThisWorkbookDataModel","[Measures].[Net Sales]",CUBERANKEDMEMBER("ThisWorkbookDataModel",$F$39,2))</f>
        <v/>
      </c>
    </row>
    <row r="42">
      <c r="B42" s="24">
        <f>CUBERANKEDMEMBER("ThisWorkbookDataModel",$F$39,3)</f>
        <v/>
      </c>
      <c r="D42" s="25">
        <f>CUBEVALUE("ThisWorkbookDataModel","[Measures].[Net Sales]",CUBERANKEDMEMBER("ThisWorkbookDataModel",$F$39,3))</f>
        <v/>
      </c>
    </row>
    <row r="43">
      <c r="B43" s="24">
        <f>CUBERANKEDMEMBER("ThisWorkbookDataModel",$F$39,4)</f>
        <v/>
      </c>
      <c r="D43" s="25">
        <f>CUBEVALUE("ThisWorkbookDataModel","[Measures].[Net Sales]",CUBERANKEDMEMBER("ThisWorkbookDataModel",$F$39,4))</f>
        <v/>
      </c>
    </row>
    <row r="44">
      <c r="B44" s="24">
        <f>CUBERANKEDMEMBER("ThisWorkbookDataModel",$F$39,5)</f>
        <v/>
      </c>
      <c r="D44" s="25">
        <f>CUBEVALUE("ThisWorkbookDataModel","[Measures].[Net Sales]",CUBERANKEDMEMBER("ThisWorkbookDataModel",$F$39,5))</f>
        <v/>
      </c>
    </row>
    <row r="46">
      <c r="B46" s="11" t="inlineStr">
        <is>
          <t>KEY INSIGHTS</t>
        </is>
      </c>
    </row>
    <row r="47" ht="16" customHeight="1">
      <c r="B47" s="26">
        <f>"•  "&amp;IFERROR('BI_Insights'!D15,"(resolves once Data Model is wired)")</f>
        <v/>
      </c>
    </row>
    <row r="48" ht="16" customHeight="1">
      <c r="B48" s="26">
        <f>"•  "&amp;IFERROR('BI_Insights'!D16,"(resolves once Data Model is wired)")</f>
        <v/>
      </c>
    </row>
    <row r="49" ht="16" customHeight="1">
      <c r="B49" s="26">
        <f>"•  "&amp;IFERROR('BI_Insights'!D19,"(resolves once Data Model is wired)")</f>
        <v/>
      </c>
    </row>
    <row r="50" ht="16" customHeight="1">
      <c r="B50" s="26">
        <f>"•  "&amp;IFERROR('BI_Insights'!D20,"(resolves once Data Model is wired)")</f>
        <v/>
      </c>
    </row>
  </sheetData>
  <sheetProtection selectLockedCells="0" selectUnlockedCells="0" sheet="1" objects="0" insertRows="0" insertHyperlinks="1" autoFilter="1" scenarios="0" formatColumns="0" deleteColumns="0" insertColumns="0" pivotTables="0" deleteRows="0" formatCells="0" formatRows="0" sort="1" password="C24F"/>
  <mergeCells count="22">
    <mergeCell ref="B4:L4"/>
    <mergeCell ref="F11:G11"/>
    <mergeCell ref="B49:K49"/>
    <mergeCell ref="B7:L7"/>
    <mergeCell ref="D12:E13"/>
    <mergeCell ref="A3:L3"/>
    <mergeCell ref="A2:L2"/>
    <mergeCell ref="H12:I13"/>
    <mergeCell ref="B11:C11"/>
    <mergeCell ref="J12:K13"/>
    <mergeCell ref="B50:K50"/>
    <mergeCell ref="D11:E11"/>
    <mergeCell ref="B47:K47"/>
    <mergeCell ref="B8:L8"/>
    <mergeCell ref="H11:I11"/>
    <mergeCell ref="J11:K11"/>
    <mergeCell ref="B48:K48"/>
    <mergeCell ref="B12:C13"/>
    <mergeCell ref="B6:L6"/>
    <mergeCell ref="F12:G13"/>
    <mergeCell ref="A1:L1"/>
    <mergeCell ref="B5:L5"/>
  </mergeCells>
  <hyperlinks>
    <hyperlink xmlns:r="http://schemas.openxmlformats.org/officeDocument/2006/relationships" ref="A2" r:id="rId1"/>
    <hyperlink xmlns:r="http://schemas.openxmlformats.org/officeDocument/2006/relationships" ref="B15" r:id="rId2"/>
  </hyperlinks>
  <pageMargins left="0.3" right="0.3" top="0.4" bottom="0.4" header="0.5" footer="0.5"/>
  <pageSetup orientation="landscape" fitToHeight="0" fitToWidth="1"/>
  <drawing xmlns:r="http://schemas.openxmlformats.org/officeDocument/2006/relationships" r:id="rId3"/>
</worksheet>
</file>

<file path=xl/worksheets/sheet3.xml><?xml version="1.0" encoding="utf-8"?>
<worksheet xmlns="http://schemas.openxmlformats.org/spreadsheetml/2006/main">
  <sheetPr>
    <tabColor rgb="001F4E78"/>
    <outlinePr applyStyles="1" summaryBelow="0" summaryRight="1"/>
    <pageSetUpPr fitToPage="1"/>
  </sheetPr>
  <dimension ref="A1:L90"/>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CEO Dashboard</t>
        </is>
      </c>
    </row>
    <row r="2" ht="16" customHeight="1">
      <c r="A2" s="17" t="inlineStr">
        <is>
          <t>PASSRESS MIS   |   Home ▸ CEO Dashboard</t>
        </is>
      </c>
    </row>
    <row r="3" ht="14" customHeight="1">
      <c r="A3" s="3" t="inlineStr">
        <is>
          <t>Sheet Documentation  (use the  +  outline control at left to expand)</t>
        </is>
      </c>
    </row>
    <row r="4" hidden="1" outlineLevel="1" ht="13" customHeight="1">
      <c r="A4" s="4" t="inlineStr">
        <is>
          <t>Purpose</t>
        </is>
      </c>
      <c r="B4" s="5" t="inlineStr">
        <is>
          <t>Management view: every KPI category, Budget/Forecast/Alerts summaries, and Business Insights — the full operational picture, unlike Partner Dashboard's deliberately minimal set.</t>
        </is>
      </c>
    </row>
    <row r="5" hidden="1" outlineLevel="1" ht="13" customHeight="1">
      <c r="A5" s="4" t="inlineStr">
        <is>
          <t>Input tables</t>
        </is>
      </c>
      <c r="B5" s="5" t="inlineStr">
        <is>
          <t>The Data Model (dax/MEASURES.md, dax/PHASE5_MEASURES_ADDENDUM.md) via CUBEVALUE; BI_Alerts, BI_Forecast, BI_Insights for their respective sections.</t>
        </is>
      </c>
    </row>
    <row r="6" hidden="1" outlineLevel="1" ht="13" customHeight="1">
      <c r="A6" s="4" t="inlineStr">
        <is>
          <t>Output tables</t>
        </is>
      </c>
      <c r="B6" s="5" t="inlineStr">
        <is>
          <t>9 KPI-card sections + Budget/Forecast/Alerts/Insights reference tables.</t>
        </is>
      </c>
    </row>
    <row r="7" hidden="1" outlineLevel="1" ht="13" customHeight="1">
      <c r="A7" s="4" t="inlineStr">
        <is>
          <t>Relationships</t>
        </is>
      </c>
      <c r="B7" s="5" t="inlineStr">
        <is>
          <t>Reads the Data Model directly for KPI cards; reads BI_Alerts/BI_Forecast/BI_Insights directly (simple cell references, not re-derived CUBE formulas) for those three sections.</t>
        </is>
      </c>
    </row>
    <row r="8" hidden="1" outlineLevel="1" ht="13" customHeight="1">
      <c r="A8" s="4" t="inlineStr">
        <is>
          <t>Future data source</t>
        </is>
      </c>
      <c r="B8" s="5" t="inlineStr">
        <is>
          <t>Already live: every number resolves once the Data Model + measures are wired — see power-query/README.md and dax/README.md.</t>
        </is>
      </c>
    </row>
    <row r="9" hidden="1" outlineLevel="1"/>
    <row r="10" ht="6" customHeight="1"/>
    <row r="11">
      <c r="B11" s="11" t="inlineStr">
        <is>
          <t>FINANCIAL KPIs</t>
        </is>
      </c>
    </row>
    <row r="12" ht="15" customHeight="1">
      <c r="B12" s="6" t="inlineStr">
        <is>
          <t>NET SALES</t>
        </is>
      </c>
      <c r="C12" s="7" t="n"/>
      <c r="D12" s="6" t="inlineStr">
        <is>
          <t>GROSS PROFIT</t>
        </is>
      </c>
      <c r="E12" s="7" t="n"/>
      <c r="F12" s="6" t="inlineStr">
        <is>
          <t>NET PROFIT</t>
        </is>
      </c>
      <c r="G12" s="7" t="n"/>
      <c r="H12" s="6" t="inlineStr">
        <is>
          <t>CASH POSITION</t>
        </is>
      </c>
      <c r="I12" s="7" t="n"/>
    </row>
    <row r="13" ht="22" customHeight="1">
      <c r="B13" s="18">
        <f>CUBEVALUE("ThisWorkbookDataModel","[Measures].[Net Sales]")</f>
        <v/>
      </c>
      <c r="C13" s="7" t="n"/>
      <c r="D13" s="18">
        <f>CUBEVALUE("ThisWorkbookDataModel","[Measures].[Gross Profit]")</f>
        <v/>
      </c>
      <c r="E13" s="7" t="n"/>
      <c r="F13" s="18">
        <f>CUBEVALUE("ThisWorkbookDataModel","[Measures].[Net Profit]")</f>
        <v/>
      </c>
      <c r="G13" s="7" t="n"/>
      <c r="H13" s="18">
        <f>CUBEVALUE("ThisWorkbookDataModel","[Measures].[Cash Position (Direct, Cumulative)]")</f>
        <v/>
      </c>
      <c r="I13" s="7" t="n"/>
    </row>
    <row r="14" ht="22" customHeight="1">
      <c r="B14" s="7" t="n"/>
      <c r="C14" s="7" t="n"/>
      <c r="D14" s="7" t="n"/>
      <c r="E14" s="7" t="n"/>
      <c r="F14" s="7" t="n"/>
      <c r="G14" s="7" t="n"/>
      <c r="H14" s="7" t="n"/>
      <c r="I14" s="7" t="n"/>
    </row>
    <row r="17">
      <c r="B17" s="11" t="inlineStr">
        <is>
          <t>SALES KPIs</t>
        </is>
      </c>
    </row>
    <row r="18" ht="15" customHeight="1">
      <c r="B18" s="6" t="inlineStr">
        <is>
          <t>ORDER COUNT</t>
        </is>
      </c>
      <c r="C18" s="7" t="n"/>
      <c r="D18" s="6" t="inlineStr">
        <is>
          <t>AVERAGE ORDER VALUE</t>
        </is>
      </c>
      <c r="E18" s="7" t="n"/>
      <c r="F18" s="6" t="inlineStr">
        <is>
          <t>UNITS SOLD</t>
        </is>
      </c>
      <c r="G18" s="7" t="n"/>
      <c r="H18" s="6" t="inlineStr">
        <is>
          <t>REVENUE GROWTH % YOY</t>
        </is>
      </c>
      <c r="I18" s="7" t="n"/>
    </row>
    <row r="19" ht="22" customHeight="1">
      <c r="B19" s="18">
        <f>CUBEVALUE("ThisWorkbookDataModel","[Measures].[Order Count]")</f>
        <v/>
      </c>
      <c r="C19" s="7" t="n"/>
      <c r="D19" s="18">
        <f>CUBEVALUE("ThisWorkbookDataModel","[Measures].[Average Order Value]")</f>
        <v/>
      </c>
      <c r="E19" s="7" t="n"/>
      <c r="F19" s="18">
        <f>CUBEVALUE("ThisWorkbookDataModel","[Measures].[Units Sold]")</f>
        <v/>
      </c>
      <c r="G19" s="7" t="n"/>
      <c r="H19" s="19">
        <f>CUBEVALUE("ThisWorkbookDataModel","[Measures].[Revenue Growth % (YoY)]")</f>
        <v/>
      </c>
      <c r="I19" s="7" t="n"/>
    </row>
    <row r="20" ht="22" customHeight="1">
      <c r="B20" s="7" t="n"/>
      <c r="C20" s="7" t="n"/>
      <c r="D20" s="7" t="n"/>
      <c r="E20" s="7" t="n"/>
      <c r="F20" s="7" t="n"/>
      <c r="G20" s="7" t="n"/>
      <c r="H20" s="7" t="n"/>
      <c r="I20" s="7" t="n"/>
    </row>
    <row r="22">
      <c r="B22" s="20" t="inlineStr">
        <is>
          <t>↓ Drill into Sales</t>
        </is>
      </c>
    </row>
    <row r="24">
      <c r="B24" s="11" t="inlineStr">
        <is>
          <t>CUSTOMER KPIs</t>
        </is>
      </c>
    </row>
    <row r="25" ht="15" customHeight="1">
      <c r="B25" s="6" t="inlineStr">
        <is>
          <t>NEW CUSTOMERS</t>
        </is>
      </c>
      <c r="C25" s="7" t="n"/>
      <c r="D25" s="6" t="inlineStr">
        <is>
          <t>RETURNING CUSTOMERS</t>
        </is>
      </c>
      <c r="E25" s="7" t="n"/>
      <c r="F25" s="6" t="inlineStr">
        <is>
          <t>CLV (HISTORICAL)</t>
        </is>
      </c>
      <c r="G25" s="7" t="n"/>
      <c r="H25" s="6" t="inlineStr">
        <is>
          <t>RETENTION RATE (MOM)</t>
        </is>
      </c>
      <c r="I25" s="7" t="n"/>
    </row>
    <row r="26" ht="22" customHeight="1">
      <c r="B26" s="18">
        <f>CUBEVALUE("ThisWorkbookDataModel","[Measures].[New Customers]")</f>
        <v/>
      </c>
      <c r="C26" s="7" t="n"/>
      <c r="D26" s="18">
        <f>CUBEVALUE("ThisWorkbookDataModel","[Measures].[Returning Customers]")</f>
        <v/>
      </c>
      <c r="E26" s="7" t="n"/>
      <c r="F26" s="18">
        <f>CUBEVALUE("ThisWorkbookDataModel","[Measures].[Customer Lifetime Value (Historical)]")</f>
        <v/>
      </c>
      <c r="G26" s="7" t="n"/>
      <c r="H26" s="19">
        <f>CUBEVALUE("ThisWorkbookDataModel","[Measures].[Customer Retention Rate (MoM)]")</f>
        <v/>
      </c>
      <c r="I26" s="7" t="n"/>
    </row>
    <row r="27" ht="22" customHeight="1">
      <c r="B27" s="7" t="n"/>
      <c r="C27" s="7" t="n"/>
      <c r="D27" s="7" t="n"/>
      <c r="E27" s="7" t="n"/>
      <c r="F27" s="7" t="n"/>
      <c r="G27" s="7" t="n"/>
      <c r="H27" s="7" t="n"/>
      <c r="I27" s="7" t="n"/>
    </row>
    <row r="29">
      <c r="B29" s="20" t="inlineStr">
        <is>
          <t>↓ Drill into Customers</t>
        </is>
      </c>
    </row>
    <row r="31">
      <c r="B31" s="11" t="inlineStr">
        <is>
          <t>INVENTORY KPIs</t>
        </is>
      </c>
    </row>
    <row r="32" ht="15" customHeight="1">
      <c r="B32" s="6" t="inlineStr">
        <is>
          <t>INVENTORY VALUE</t>
        </is>
      </c>
      <c r="C32" s="7" t="n"/>
      <c r="D32" s="6" t="inlineStr">
        <is>
          <t>INVENTORY TURNOVER</t>
        </is>
      </c>
      <c r="E32" s="7" t="n"/>
      <c r="F32" s="6" t="inlineStr">
        <is>
          <t>DAYS OF INVENTORY</t>
        </is>
      </c>
      <c r="G32" s="7" t="n"/>
      <c r="H32" s="6" t="inlineStr">
        <is>
          <t>SLOW MOVING SKUS</t>
        </is>
      </c>
      <c r="I32" s="7" t="n"/>
    </row>
    <row r="33" ht="22" customHeight="1">
      <c r="B33" s="18">
        <f>CUBEVALUE("ThisWorkbookDataModel","[Measures].[Inventory Value]")</f>
        <v/>
      </c>
      <c r="C33" s="7" t="n"/>
      <c r="D33" s="27">
        <f>CUBEVALUE("ThisWorkbookDataModel","[Measures].[Inventory Turnover]")</f>
        <v/>
      </c>
      <c r="E33" s="7" t="n"/>
      <c r="F33" s="28">
        <f>CUBEVALUE("ThisWorkbookDataModel","[Measures].[Days of Inventory]")</f>
        <v/>
      </c>
      <c r="G33" s="7" t="n"/>
      <c r="H33" s="28">
        <f>CUBEVALUE("ThisWorkbookDataModel","[Measures].[Slow Moving SKU Count]")</f>
        <v/>
      </c>
      <c r="I33" s="7" t="n"/>
    </row>
    <row r="34" ht="22" customHeight="1">
      <c r="B34" s="7" t="n"/>
      <c r="C34" s="7" t="n"/>
      <c r="D34" s="7" t="n"/>
      <c r="E34" s="7" t="n"/>
      <c r="F34" s="7" t="n"/>
      <c r="G34" s="7" t="n"/>
      <c r="H34" s="7" t="n"/>
      <c r="I34" s="7" t="n"/>
    </row>
    <row r="36">
      <c r="B36" s="20" t="inlineStr">
        <is>
          <t>↓ Drill into Inventory</t>
        </is>
      </c>
    </row>
    <row r="38">
      <c r="B38" s="11" t="inlineStr">
        <is>
          <t>PROFITABILITY</t>
        </is>
      </c>
    </row>
    <row r="39" ht="15" customHeight="1">
      <c r="B39" s="6" t="inlineStr">
        <is>
          <t>GROSS MARGIN %</t>
        </is>
      </c>
      <c r="C39" s="7" t="n"/>
      <c r="D39" s="6" t="inlineStr">
        <is>
          <t>NET PROFIT MARGIN %</t>
        </is>
      </c>
      <c r="E39" s="7" t="n"/>
      <c r="F39" s="6" t="inlineStr">
        <is>
          <t>BREAK-EVEN NET SALES</t>
        </is>
      </c>
      <c r="G39" s="7" t="n"/>
    </row>
    <row r="40" ht="22" customHeight="1">
      <c r="B40" s="19">
        <f>CUBEVALUE("ThisWorkbookDataModel","[Measures].[Gross Margin %]")</f>
        <v/>
      </c>
      <c r="C40" s="7" t="n"/>
      <c r="D40" s="19">
        <f>CUBEVALUE("ThisWorkbookDataModel","[Measures].[Net Profit Margin %]")</f>
        <v/>
      </c>
      <c r="E40" s="7" t="n"/>
      <c r="F40" s="18">
        <f>CUBEVALUE("ThisWorkbookDataModel","[Measures].[Break-Even Net Sales]")</f>
        <v/>
      </c>
      <c r="G40" s="7" t="n"/>
    </row>
    <row r="41" ht="22" customHeight="1">
      <c r="B41" s="7" t="n"/>
      <c r="C41" s="7" t="n"/>
      <c r="D41" s="7" t="n"/>
      <c r="E41" s="7" t="n"/>
      <c r="F41" s="7" t="n"/>
      <c r="G41" s="7" t="n"/>
    </row>
    <row r="43">
      <c r="B43" s="20" t="inlineStr">
        <is>
          <t>↓ Drill into Profitability</t>
        </is>
      </c>
    </row>
    <row r="45">
      <c r="B45" s="11" t="inlineStr">
        <is>
          <t>EXPENSE ANALYSIS</t>
        </is>
      </c>
    </row>
    <row r="46" ht="15" customHeight="1">
      <c r="B46" s="6" t="inlineStr">
        <is>
          <t>OPERATING EXPENSES</t>
        </is>
      </c>
      <c r="C46" s="7" t="n"/>
      <c r="D46" s="6" t="inlineStr">
        <is>
          <t>EXPENSE RATIO %</t>
        </is>
      </c>
      <c r="E46" s="7" t="n"/>
      <c r="F46" s="6" t="inlineStr">
        <is>
          <t>EXPENSE ACTUAL VS BUDGET</t>
        </is>
      </c>
      <c r="G46" s="7" t="n"/>
    </row>
    <row r="47" ht="22" customHeight="1">
      <c r="B47" s="18">
        <f>CUBEVALUE("ThisWorkbookDataModel","[Measures].[Operating Expenses]")</f>
        <v/>
      </c>
      <c r="C47" s="7" t="n"/>
      <c r="D47" s="19">
        <f>CUBEVALUE("ThisWorkbookDataModel","[Measures].[Operating Expense Ratio %]")</f>
        <v/>
      </c>
      <c r="E47" s="7" t="n"/>
      <c r="F47" s="18">
        <f>CUBEVALUE("ThisWorkbookDataModel","[Measures].[Expense Actual vs Budget]")</f>
        <v/>
      </c>
      <c r="G47" s="7" t="n"/>
    </row>
    <row r="48" ht="22" customHeight="1">
      <c r="B48" s="7" t="n"/>
      <c r="C48" s="7" t="n"/>
      <c r="D48" s="7" t="n"/>
      <c r="E48" s="7" t="n"/>
      <c r="F48" s="7" t="n"/>
      <c r="G48" s="7" t="n"/>
    </row>
    <row r="50">
      <c r="B50" s="20" t="inlineStr">
        <is>
          <t>↓ Drill into Expenses</t>
        </is>
      </c>
    </row>
    <row r="52">
      <c r="B52" s="11" t="inlineStr">
        <is>
          <t>BUDGET  (Actual vs Budget, current period)</t>
        </is>
      </c>
    </row>
    <row r="53">
      <c r="B53" s="29" t="inlineStr">
        <is>
          <t>Category</t>
        </is>
      </c>
      <c r="C53" s="29" t="inlineStr">
        <is>
          <t>Actual</t>
        </is>
      </c>
      <c r="D53" s="29" t="inlineStr">
        <is>
          <t>Budget</t>
        </is>
      </c>
      <c r="E53" s="29" t="inlineStr">
        <is>
          <t>Variance</t>
        </is>
      </c>
    </row>
    <row r="54">
      <c r="B54" s="30" t="inlineStr">
        <is>
          <t>Revenue</t>
        </is>
      </c>
      <c r="C54" s="31">
        <f>CUBEVALUE("ThisWorkbookDataModel","[Measures].[Net Sales]")</f>
        <v/>
      </c>
      <c r="D54" s="31">
        <f>CUBEVALUE("ThisWorkbookDataModel","[Measures].[Revenue Budget (Period)]")</f>
        <v/>
      </c>
      <c r="E54" s="31">
        <f>CUBEVALUE("ThisWorkbookDataModel","[Measures].[Revenue Actual vs Budget]")</f>
        <v/>
      </c>
    </row>
    <row r="55">
      <c r="B55" s="30" t="inlineStr">
        <is>
          <t>Expense</t>
        </is>
      </c>
      <c r="C55" s="31">
        <f>CUBEVALUE("ThisWorkbookDataModel","[Measures].[Operating Expenses]")</f>
        <v/>
      </c>
      <c r="D55" s="31">
        <f>CUBEVALUE("ThisWorkbookDataModel","[Measures].[Expense Budget (Period)]")</f>
        <v/>
      </c>
      <c r="E55" s="31">
        <f>CUBEVALUE("ThisWorkbookDataModel","[Measures].[Expense Actual vs Budget]")</f>
        <v/>
      </c>
    </row>
    <row r="56">
      <c r="B56" s="30" t="inlineStr">
        <is>
          <t>Purchasing</t>
        </is>
      </c>
      <c r="C56" s="31">
        <f>CUBEVALUE("ThisWorkbookDataModel","[Measures].[Cash Paid for Purchases]")</f>
        <v/>
      </c>
      <c r="D56" s="31">
        <f>CUBEVALUE("ThisWorkbookDataModel","[Measures].[Purchasing Budget (Period)]")</f>
        <v/>
      </c>
      <c r="E56" s="31">
        <f>CUBEVALUE("ThisWorkbookDataModel","[Measures].[Purchasing Actual vs Budget]")</f>
        <v/>
      </c>
    </row>
    <row r="57">
      <c r="B57" s="30" t="inlineStr">
        <is>
          <t>Profit</t>
        </is>
      </c>
      <c r="C57" s="31">
        <f>CUBEVALUE("ThisWorkbookDataModel","[Measures].[Net Profit]")</f>
        <v/>
      </c>
      <c r="D57" s="31">
        <f>CUBEVALUE("ThisWorkbookDataModel","[Measures].[Profit Budget (Period)]")</f>
        <v/>
      </c>
      <c r="E57" s="31">
        <f>CUBEVALUE("ThisWorkbookDataModel","[Measures].[Profit Actual vs Budget]")</f>
        <v/>
      </c>
    </row>
    <row r="59">
      <c r="B59" s="11" t="inlineStr">
        <is>
          <t>FORECAST  (next period, rolling linear trend — see BI_Forecast)</t>
        </is>
      </c>
    </row>
    <row r="60">
      <c r="B60" s="29" t="inlineStr">
        <is>
          <t>Metric</t>
        </is>
      </c>
      <c r="C60" s="29" t="inlineStr">
        <is>
          <t>Forecast (Next Month)</t>
        </is>
      </c>
    </row>
    <row r="61">
      <c r="B61" s="24" t="inlineStr">
        <is>
          <t>Sales</t>
        </is>
      </c>
      <c r="C61" s="25">
        <f>'BI_Forecast'!E37</f>
        <v/>
      </c>
    </row>
    <row r="62">
      <c r="B62" s="24" t="inlineStr">
        <is>
          <t>Expenses</t>
        </is>
      </c>
      <c r="C62" s="25">
        <f>'BI_Forecast'!E38</f>
        <v/>
      </c>
    </row>
    <row r="63">
      <c r="B63" s="24" t="inlineStr">
        <is>
          <t>Profit</t>
        </is>
      </c>
      <c r="C63" s="25">
        <f>'BI_Forecast'!E39</f>
        <v/>
      </c>
    </row>
    <row r="64">
      <c r="B64" s="24" t="inlineStr">
        <is>
          <t>Inventory</t>
        </is>
      </c>
      <c r="C64" s="25">
        <f>'BI_Forecast'!E40</f>
        <v/>
      </c>
    </row>
    <row r="65">
      <c r="B65" s="24" t="inlineStr">
        <is>
          <t>Cash</t>
        </is>
      </c>
      <c r="C65" s="25">
        <f>'BI_Forecast'!E41</f>
        <v/>
      </c>
    </row>
    <row r="67">
      <c r="B67" s="11" t="inlineStr">
        <is>
          <t>ALERTS  (see 14_Data_Quality and BI_Alerts for full detail)</t>
        </is>
      </c>
    </row>
    <row r="68">
      <c r="B68" s="29" t="inlineStr">
        <is>
          <t>Alert</t>
        </is>
      </c>
      <c r="C68" s="29" t="inlineStr">
        <is>
          <t>Status</t>
        </is>
      </c>
      <c r="D68" s="29" t="inlineStr">
        <is>
          <t>Severity</t>
        </is>
      </c>
    </row>
    <row r="69">
      <c r="B69" s="24">
        <f>'BI_Alerts'!B15</f>
        <v/>
      </c>
      <c r="C69" s="24">
        <f>'BI_Alerts'!E15</f>
        <v/>
      </c>
      <c r="D69" s="24">
        <f>'BI_Alerts'!F15</f>
        <v/>
      </c>
    </row>
    <row r="70">
      <c r="B70" s="24">
        <f>'BI_Alerts'!B16</f>
        <v/>
      </c>
      <c r="C70" s="24">
        <f>'BI_Alerts'!E16</f>
        <v/>
      </c>
      <c r="D70" s="24">
        <f>'BI_Alerts'!F16</f>
        <v/>
      </c>
    </row>
    <row r="71">
      <c r="B71" s="24">
        <f>'BI_Alerts'!B17</f>
        <v/>
      </c>
      <c r="C71" s="24">
        <f>'BI_Alerts'!E17</f>
        <v/>
      </c>
      <c r="D71" s="24">
        <f>'BI_Alerts'!F17</f>
        <v/>
      </c>
    </row>
    <row r="72">
      <c r="B72" s="24">
        <f>'BI_Alerts'!B18</f>
        <v/>
      </c>
      <c r="C72" s="24">
        <f>'BI_Alerts'!E18</f>
        <v/>
      </c>
      <c r="D72" s="24">
        <f>'BI_Alerts'!F18</f>
        <v/>
      </c>
    </row>
    <row r="73">
      <c r="B73" s="24">
        <f>'BI_Alerts'!B19</f>
        <v/>
      </c>
      <c r="C73" s="24">
        <f>'BI_Alerts'!E19</f>
        <v/>
      </c>
      <c r="D73" s="24">
        <f>'BI_Alerts'!F19</f>
        <v/>
      </c>
    </row>
    <row r="74">
      <c r="B74" s="24">
        <f>'BI_Alerts'!B20</f>
        <v/>
      </c>
      <c r="C74" s="24">
        <f>'BI_Alerts'!E20</f>
        <v/>
      </c>
      <c r="D74" s="24">
        <f>'BI_Alerts'!F20</f>
        <v/>
      </c>
    </row>
    <row r="75">
      <c r="B75" s="24">
        <f>'BI_Alerts'!B21</f>
        <v/>
      </c>
      <c r="C75" s="24">
        <f>'BI_Alerts'!E21</f>
        <v/>
      </c>
      <c r="D75" s="24">
        <f>'BI_Alerts'!F21</f>
        <v/>
      </c>
    </row>
    <row r="76">
      <c r="B76" s="24">
        <f>'BI_Alerts'!B22</f>
        <v/>
      </c>
      <c r="C76" s="24">
        <f>'BI_Alerts'!E22</f>
        <v/>
      </c>
      <c r="D76" s="24">
        <f>'BI_Alerts'!F22</f>
        <v/>
      </c>
    </row>
    <row r="77">
      <c r="B77" s="24">
        <f>'BI_Alerts'!B23</f>
        <v/>
      </c>
      <c r="C77" s="24">
        <f>'BI_Alerts'!E23</f>
        <v/>
      </c>
      <c r="D77" s="24">
        <f>'BI_Alerts'!F23</f>
        <v/>
      </c>
    </row>
    <row r="78">
      <c r="B78" s="24">
        <f>'BI_Alerts'!B24</f>
        <v/>
      </c>
      <c r="C78" s="24">
        <f>'BI_Alerts'!E24</f>
        <v/>
      </c>
      <c r="D78" s="24">
        <f>'BI_Alerts'!F24</f>
        <v/>
      </c>
    </row>
    <row r="79">
      <c r="B79" s="24">
        <f>'BI_Alerts'!B25</f>
        <v/>
      </c>
      <c r="C79" s="24">
        <f>'BI_Alerts'!E25</f>
        <v/>
      </c>
      <c r="D79" s="24">
        <f>'BI_Alerts'!F25</f>
        <v/>
      </c>
    </row>
    <row r="80">
      <c r="B80" s="24">
        <f>'BI_Alerts'!B26</f>
        <v/>
      </c>
      <c r="C80" s="24">
        <f>'BI_Alerts'!E26</f>
        <v/>
      </c>
      <c r="D80" s="24">
        <f>'BI_Alerts'!F26</f>
        <v/>
      </c>
    </row>
    <row r="82">
      <c r="B82" s="11" t="inlineStr">
        <is>
          <t>BUSINESS INSIGHTS</t>
        </is>
      </c>
    </row>
    <row r="83" ht="16" customHeight="1">
      <c r="B83" s="26">
        <f>"•  "&amp;IFERROR('BI_Insights'!D15,"(resolves once Data Model is wired)")</f>
        <v/>
      </c>
    </row>
    <row r="84" ht="16" customHeight="1">
      <c r="B84" s="26">
        <f>"•  "&amp;IFERROR('BI_Insights'!D16,"(resolves once Data Model is wired)")</f>
        <v/>
      </c>
    </row>
    <row r="85" ht="16" customHeight="1">
      <c r="B85" s="26">
        <f>"•  "&amp;IFERROR('BI_Insights'!D17,"(resolves once Data Model is wired)")</f>
        <v/>
      </c>
    </row>
    <row r="86" ht="16" customHeight="1">
      <c r="B86" s="26">
        <f>"•  "&amp;IFERROR('BI_Insights'!D18,"(resolves once Data Model is wired)")</f>
        <v/>
      </c>
    </row>
    <row r="87" ht="16" customHeight="1">
      <c r="B87" s="26">
        <f>"•  "&amp;IFERROR('BI_Insights'!D19,"(resolves once Data Model is wired)")</f>
        <v/>
      </c>
    </row>
    <row r="88" ht="16" customHeight="1">
      <c r="B88" s="26">
        <f>"•  "&amp;IFERROR('BI_Insights'!D20,"(resolves once Data Model is wired)")</f>
        <v/>
      </c>
    </row>
    <row r="89" ht="16" customHeight="1">
      <c r="B89" s="26">
        <f>"•  "&amp;IFERROR('BI_Insights'!D21,"(resolves once Data Model is wired)")</f>
        <v/>
      </c>
    </row>
    <row r="90" ht="16" customHeight="1">
      <c r="B90" s="26">
        <f>"•  "&amp;IFERROR('BI_Insights'!D22,"(resolves once Data Model is wired)")</f>
        <v/>
      </c>
    </row>
  </sheetData>
  <sheetProtection selectLockedCells="0" selectUnlockedCells="0" sheet="1" objects="0" insertRows="0" insertHyperlinks="1" autoFilter="1" scenarios="0" formatColumns="0" deleteColumns="0" insertColumns="0" pivotTables="0" deleteRows="0" formatCells="0" formatRows="0" sort="1" password="C24F"/>
  <mergeCells count="60">
    <mergeCell ref="B4:L4"/>
    <mergeCell ref="B13:C14"/>
    <mergeCell ref="F33:G34"/>
    <mergeCell ref="D47:E48"/>
    <mergeCell ref="F47:G48"/>
    <mergeCell ref="B25:C25"/>
    <mergeCell ref="B84:K84"/>
    <mergeCell ref="B7:L7"/>
    <mergeCell ref="F25:G25"/>
    <mergeCell ref="B19:C20"/>
    <mergeCell ref="B46:C46"/>
    <mergeCell ref="B83:K83"/>
    <mergeCell ref="D46:E46"/>
    <mergeCell ref="H19:I20"/>
    <mergeCell ref="B18:C18"/>
    <mergeCell ref="A3:L3"/>
    <mergeCell ref="F13:G14"/>
    <mergeCell ref="D33:E34"/>
    <mergeCell ref="B89:K89"/>
    <mergeCell ref="H13:I14"/>
    <mergeCell ref="B12:C12"/>
    <mergeCell ref="B39:C39"/>
    <mergeCell ref="A2:L2"/>
    <mergeCell ref="H25:I25"/>
    <mergeCell ref="F12:G12"/>
    <mergeCell ref="B85:K85"/>
    <mergeCell ref="B33:C34"/>
    <mergeCell ref="B40:C41"/>
    <mergeCell ref="F18:G18"/>
    <mergeCell ref="D32:E32"/>
    <mergeCell ref="F32:G32"/>
    <mergeCell ref="D19:E20"/>
    <mergeCell ref="B90:K90"/>
    <mergeCell ref="D26:E27"/>
    <mergeCell ref="F19:G20"/>
    <mergeCell ref="B8:L8"/>
    <mergeCell ref="H33:I34"/>
    <mergeCell ref="H32:I32"/>
    <mergeCell ref="B26:C27"/>
    <mergeCell ref="H26:I27"/>
    <mergeCell ref="F46:G46"/>
    <mergeCell ref="D18:E18"/>
    <mergeCell ref="D40:E41"/>
    <mergeCell ref="B86:K86"/>
    <mergeCell ref="F40:G41"/>
    <mergeCell ref="D12:E12"/>
    <mergeCell ref="D39:E39"/>
    <mergeCell ref="D25:E25"/>
    <mergeCell ref="B47:C48"/>
    <mergeCell ref="F39:G39"/>
    <mergeCell ref="H12:I12"/>
    <mergeCell ref="B6:L6"/>
    <mergeCell ref="B88:K88"/>
    <mergeCell ref="A1:L1"/>
    <mergeCell ref="H18:I18"/>
    <mergeCell ref="B5:L5"/>
    <mergeCell ref="B32:C32"/>
    <mergeCell ref="B87:K87"/>
    <mergeCell ref="F26:G27"/>
    <mergeCell ref="D13:E14"/>
  </mergeCells>
  <hyperlinks>
    <hyperlink xmlns:r="http://schemas.openxmlformats.org/officeDocument/2006/relationships" ref="A2" r:id="rId1"/>
    <hyperlink xmlns:r="http://schemas.openxmlformats.org/officeDocument/2006/relationships" ref="B22" r:id="rId2"/>
    <hyperlink xmlns:r="http://schemas.openxmlformats.org/officeDocument/2006/relationships" ref="B29" r:id="rId3"/>
    <hyperlink xmlns:r="http://schemas.openxmlformats.org/officeDocument/2006/relationships" ref="B36" r:id="rId4"/>
    <hyperlink xmlns:r="http://schemas.openxmlformats.org/officeDocument/2006/relationships" ref="B43" r:id="rId5"/>
    <hyperlink xmlns:r="http://schemas.openxmlformats.org/officeDocument/2006/relationships" ref="B50" r:id="rId6"/>
  </hyperlinks>
  <pageMargins left="0.3" right="0.3" top="0.4" bottom="0.4" header="0.5" footer="0.5"/>
  <pageSetup orientation="landscape" fitToHeight="0" fitToWidth="1"/>
</worksheet>
</file>

<file path=xl/worksheets/sheet4.xml><?xml version="1.0" encoding="utf-8"?>
<worksheet xmlns="http://schemas.openxmlformats.org/spreadsheetml/2006/main">
  <sheetPr>
    <tabColor rgb="00404040"/>
    <outlinePr applyStyles="1" summaryBelow="0" summaryRight="1"/>
    <pageSetUpPr/>
  </sheetPr>
  <dimension ref="A1:N68"/>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Sales</t>
        </is>
      </c>
    </row>
    <row r="2" ht="16" customHeight="1">
      <c r="A2" s="17" t="inlineStr">
        <is>
          <t>PASSRESS MIS   |   Home ▸ Sales</t>
        </is>
      </c>
    </row>
    <row r="3" ht="14" customHeight="1">
      <c r="A3" s="3" t="inlineStr">
        <is>
          <t>Sheet Documentation  (use the  +  outline control at left to expand)</t>
        </is>
      </c>
    </row>
    <row r="4" hidden="1" outlineLevel="1" ht="13" customHeight="1">
      <c r="A4" s="4" t="inlineStr">
        <is>
          <t>Purpose</t>
        </is>
      </c>
      <c r="B4" s="5" t="inlineStr">
        <is>
          <t>Sales performance detail — orders, revenue, discounts, and returns by period, product, and channel.</t>
        </is>
      </c>
    </row>
    <row r="5" hidden="1" outlineLevel="1" ht="13" customHeight="1">
      <c r="A5" s="4" t="inlineStr">
        <is>
          <t>Input tables</t>
        </is>
      </c>
      <c r="B5" s="5" t="inlineStr">
        <is>
          <t>FACT_OrderLines, FACT_Refunds, DIM_Date, DIM_Product, DIM_Collection.</t>
        </is>
      </c>
    </row>
    <row r="6" hidden="1" outlineLevel="1" ht="13" customHeight="1">
      <c r="A6" s="4" t="inlineStr">
        <is>
          <t>Output tables</t>
        </is>
      </c>
      <c r="B6" s="5" t="inlineStr">
        <is>
          <t>Sales KPI row, Sales Trend chart (doubles as Sales by Date), Sales by Product / Sales by Collection breakdown tables (CUBE-function substitutes for a PivotTable — see dax/README.md), a link to the full Order List.</t>
        </is>
      </c>
    </row>
    <row r="7" hidden="1" outlineLevel="1" ht="13" customHeight="1">
      <c r="A7" s="4" t="inlineStr">
        <is>
          <t>Relationships</t>
        </is>
      </c>
      <c r="B7" s="5" t="inlineStr">
        <is>
          <t>FACT_OrderLines links to DIM_Date/DIM_Product/DIM_Collection; FACT_Refunds links to FACT_OrderLines.</t>
        </is>
      </c>
    </row>
    <row r="8" hidden="1" outlineLevel="1" ht="13" customHeight="1">
      <c r="A8" s="4" t="inlineStr">
        <is>
          <t>Future data source</t>
        </is>
      </c>
      <c r="B8" s="5" t="inlineStr">
        <is>
          <t>Live now: every card/table below reads dax/MEASURES.md's Gross Sales/Discounts/Returns/Net Sales measures (§0/§1) directly.</t>
        </is>
      </c>
    </row>
    <row r="9" hidden="1" outlineLevel="1"/>
    <row r="10" ht="6" customHeight="1"/>
    <row r="11" ht="15" customHeight="1">
      <c r="B11" s="6" t="inlineStr">
        <is>
          <t>GROSS SALES</t>
        </is>
      </c>
      <c r="C11" s="7" t="n"/>
      <c r="D11" s="6" t="inlineStr">
        <is>
          <t>DISCOUNTS</t>
        </is>
      </c>
      <c r="E11" s="7" t="n"/>
      <c r="F11" s="6" t="inlineStr">
        <is>
          <t>RETURNS</t>
        </is>
      </c>
      <c r="G11" s="7" t="n"/>
      <c r="H11" s="6" t="inlineStr">
        <is>
          <t>NET SALES</t>
        </is>
      </c>
      <c r="I11" s="7" t="n"/>
    </row>
    <row r="12" ht="22" customHeight="1">
      <c r="B12" s="18">
        <f>CUBEVALUE("ThisWorkbookDataModel","[Measures].[Gross Sales]")</f>
        <v/>
      </c>
      <c r="C12" s="7" t="n"/>
      <c r="D12" s="18">
        <f>CUBEVALUE("ThisWorkbookDataModel","[Measures].[Discounts]")</f>
        <v/>
      </c>
      <c r="E12" s="7" t="n"/>
      <c r="F12" s="18">
        <f>CUBEVALUE("ThisWorkbookDataModel","[Measures].[Returns]")</f>
        <v/>
      </c>
      <c r="G12" s="7" t="n"/>
      <c r="H12" s="18">
        <f>CUBEVALUE("ThisWorkbookDataModel","[Measures].[Net Sales]")</f>
        <v/>
      </c>
      <c r="I12" s="7" t="n"/>
    </row>
    <row r="13" ht="22" customHeight="1">
      <c r="B13" s="7" t="n"/>
      <c r="C13" s="7" t="n"/>
      <c r="D13" s="7" t="n"/>
      <c r="E13" s="7" t="n"/>
      <c r="F13" s="7" t="n"/>
      <c r="G13" s="7" t="n"/>
      <c r="H13" s="7" t="n"/>
      <c r="I13" s="7" t="n"/>
    </row>
    <row r="16">
      <c r="B16" s="11" t="inlineStr">
        <is>
          <t>SALES TREND / SALES BY DATE  (same Net Sales-by-month data — chart and table, not recomputed twice)</t>
        </is>
      </c>
    </row>
    <row r="17">
      <c r="B17" s="13" t="inlineStr">
        <is>
          <t>Net Sales — trailing 12 months</t>
        </is>
      </c>
    </row>
    <row r="18">
      <c r="C18" s="21">
        <f>TEXT(EDATE(TODAY(),-11),"mmm-yy")</f>
        <v/>
      </c>
      <c r="D18" s="21">
        <f>TEXT(EDATE(TODAY(),-10),"mmm-yy")</f>
        <v/>
      </c>
      <c r="E18" s="21">
        <f>TEXT(EDATE(TODAY(),-9),"mmm-yy")</f>
        <v/>
      </c>
      <c r="F18" s="21">
        <f>TEXT(EDATE(TODAY(),-8),"mmm-yy")</f>
        <v/>
      </c>
      <c r="G18" s="21">
        <f>TEXT(EDATE(TODAY(),-7),"mmm-yy")</f>
        <v/>
      </c>
      <c r="H18" s="21">
        <f>TEXT(EDATE(TODAY(),-6),"mmm-yy")</f>
        <v/>
      </c>
      <c r="I18" s="21">
        <f>TEXT(EDATE(TODAY(),-5),"mmm-yy")</f>
        <v/>
      </c>
      <c r="J18" s="21">
        <f>TEXT(EDATE(TODAY(),-4),"mmm-yy")</f>
        <v/>
      </c>
      <c r="K18" s="21">
        <f>TEXT(EDATE(TODAY(),-3),"mmm-yy")</f>
        <v/>
      </c>
      <c r="L18" s="21">
        <f>TEXT(EDATE(TODAY(),-2),"mmm-yy")</f>
        <v/>
      </c>
      <c r="M18" s="21">
        <f>TEXT(EDATE(TODAY(),-1),"mmm-yy")</f>
        <v/>
      </c>
      <c r="N18" s="21">
        <f>TEXT(EDATE(TODAY(),0),"mmm-yy")</f>
        <v/>
      </c>
    </row>
    <row r="19">
      <c r="C19" s="22">
        <f>CUBEVALUE("ThisWorkbookDataModel","[Measures].[Net Sales]","[DIM_Date].[Year].&amp;["&amp;YEAR(EDATE(TODAY(),-11))&amp;"]","[DIM_Date].[Month].&amp;["&amp;MONTH(EDATE(TODAY(),-11))&amp;"]")</f>
        <v/>
      </c>
      <c r="D19" s="22">
        <f>CUBEVALUE("ThisWorkbookDataModel","[Measures].[Net Sales]","[DIM_Date].[Year].&amp;["&amp;YEAR(EDATE(TODAY(),-10))&amp;"]","[DIM_Date].[Month].&amp;["&amp;MONTH(EDATE(TODAY(),-10))&amp;"]")</f>
        <v/>
      </c>
      <c r="E19" s="22">
        <f>CUBEVALUE("ThisWorkbookDataModel","[Measures].[Net Sales]","[DIM_Date].[Year].&amp;["&amp;YEAR(EDATE(TODAY(),-9))&amp;"]","[DIM_Date].[Month].&amp;["&amp;MONTH(EDATE(TODAY(),-9))&amp;"]")</f>
        <v/>
      </c>
      <c r="F19" s="22">
        <f>CUBEVALUE("ThisWorkbookDataModel","[Measures].[Net Sales]","[DIM_Date].[Year].&amp;["&amp;YEAR(EDATE(TODAY(),-8))&amp;"]","[DIM_Date].[Month].&amp;["&amp;MONTH(EDATE(TODAY(),-8))&amp;"]")</f>
        <v/>
      </c>
      <c r="G19" s="22">
        <f>CUBEVALUE("ThisWorkbookDataModel","[Measures].[Net Sales]","[DIM_Date].[Year].&amp;["&amp;YEAR(EDATE(TODAY(),-7))&amp;"]","[DIM_Date].[Month].&amp;["&amp;MONTH(EDATE(TODAY(),-7))&amp;"]")</f>
        <v/>
      </c>
      <c r="H19" s="22">
        <f>CUBEVALUE("ThisWorkbookDataModel","[Measures].[Net Sales]","[DIM_Date].[Year].&amp;["&amp;YEAR(EDATE(TODAY(),-6))&amp;"]","[DIM_Date].[Month].&amp;["&amp;MONTH(EDATE(TODAY(),-6))&amp;"]")</f>
        <v/>
      </c>
      <c r="I19" s="22">
        <f>CUBEVALUE("ThisWorkbookDataModel","[Measures].[Net Sales]","[DIM_Date].[Year].&amp;["&amp;YEAR(EDATE(TODAY(),-5))&amp;"]","[DIM_Date].[Month].&amp;["&amp;MONTH(EDATE(TODAY(),-5))&amp;"]")</f>
        <v/>
      </c>
      <c r="J19" s="22">
        <f>CUBEVALUE("ThisWorkbookDataModel","[Measures].[Net Sales]","[DIM_Date].[Year].&amp;["&amp;YEAR(EDATE(TODAY(),-4))&amp;"]","[DIM_Date].[Month].&amp;["&amp;MONTH(EDATE(TODAY(),-4))&amp;"]")</f>
        <v/>
      </c>
      <c r="K19" s="22">
        <f>CUBEVALUE("ThisWorkbookDataModel","[Measures].[Net Sales]","[DIM_Date].[Year].&amp;["&amp;YEAR(EDATE(TODAY(),-3))&amp;"]","[DIM_Date].[Month].&amp;["&amp;MONTH(EDATE(TODAY(),-3))&amp;"]")</f>
        <v/>
      </c>
      <c r="L19" s="22">
        <f>CUBEVALUE("ThisWorkbookDataModel","[Measures].[Net Sales]","[DIM_Date].[Year].&amp;["&amp;YEAR(EDATE(TODAY(),-2))&amp;"]","[DIM_Date].[Month].&amp;["&amp;MONTH(EDATE(TODAY(),-2))&amp;"]")</f>
        <v/>
      </c>
      <c r="M19" s="22">
        <f>CUBEVALUE("ThisWorkbookDataModel","[Measures].[Net Sales]","[DIM_Date].[Year].&amp;["&amp;YEAR(EDATE(TODAY(),-1))&amp;"]","[DIM_Date].[Month].&amp;["&amp;MONTH(EDATE(TODAY(),-1))&amp;"]")</f>
        <v/>
      </c>
      <c r="N19" s="22">
        <f>CUBEVALUE("ThisWorkbookDataModel","[Measures].[Net Sales]","[DIM_Date].[Year].&amp;["&amp;YEAR(EDATE(TODAY(),0))&amp;"]","[DIM_Date].[Month].&amp;["&amp;MONTH(EDATE(TODAY(),0))&amp;"]")</f>
        <v/>
      </c>
    </row>
    <row r="37">
      <c r="B37" s="11" t="inlineStr">
        <is>
          <t>SALES BY PRODUCT</t>
        </is>
      </c>
    </row>
    <row r="38">
      <c r="B38" s="11" t="inlineStr">
        <is>
          <t>Sales by Product (Top 8 by Net Sales)</t>
        </is>
      </c>
      <c r="F38" s="23">
        <f>CUBESET("ThisWorkbookDataModel","{[DIM_Product].[Title].Children}","Sales by Product (Top 8 by Net Sales)","BDESC","[Measures].[Net Sales]")</f>
        <v/>
      </c>
    </row>
    <row r="39">
      <c r="B39" s="32" t="inlineStr">
        <is>
          <t>Title</t>
        </is>
      </c>
      <c r="C39" s="32" t="inlineStr">
        <is>
          <t>Net Sales</t>
        </is>
      </c>
    </row>
    <row r="40">
      <c r="B40" s="24">
        <f>CUBERANKEDMEMBER("ThisWorkbookDataModel",$F$38,1)</f>
        <v/>
      </c>
      <c r="C40" s="25">
        <f>CUBEVALUE("ThisWorkbookDataModel","[Measures].[Net Sales]",CUBERANKEDMEMBER("ThisWorkbookDataModel",$F$38,1))</f>
        <v/>
      </c>
    </row>
    <row r="41">
      <c r="B41" s="24">
        <f>CUBERANKEDMEMBER("ThisWorkbookDataModel",$F$38,2)</f>
        <v/>
      </c>
      <c r="C41" s="25">
        <f>CUBEVALUE("ThisWorkbookDataModel","[Measures].[Net Sales]",CUBERANKEDMEMBER("ThisWorkbookDataModel",$F$38,2))</f>
        <v/>
      </c>
    </row>
    <row r="42">
      <c r="B42" s="24">
        <f>CUBERANKEDMEMBER("ThisWorkbookDataModel",$F$38,3)</f>
        <v/>
      </c>
      <c r="C42" s="25">
        <f>CUBEVALUE("ThisWorkbookDataModel","[Measures].[Net Sales]",CUBERANKEDMEMBER("ThisWorkbookDataModel",$F$38,3))</f>
        <v/>
      </c>
    </row>
    <row r="43">
      <c r="B43" s="24">
        <f>CUBERANKEDMEMBER("ThisWorkbookDataModel",$F$38,4)</f>
        <v/>
      </c>
      <c r="C43" s="25">
        <f>CUBEVALUE("ThisWorkbookDataModel","[Measures].[Net Sales]",CUBERANKEDMEMBER("ThisWorkbookDataModel",$F$38,4))</f>
        <v/>
      </c>
    </row>
    <row r="44">
      <c r="B44" s="24">
        <f>CUBERANKEDMEMBER("ThisWorkbookDataModel",$F$38,5)</f>
        <v/>
      </c>
      <c r="C44" s="25">
        <f>CUBEVALUE("ThisWorkbookDataModel","[Measures].[Net Sales]",CUBERANKEDMEMBER("ThisWorkbookDataModel",$F$38,5))</f>
        <v/>
      </c>
    </row>
    <row r="45">
      <c r="B45" s="24">
        <f>CUBERANKEDMEMBER("ThisWorkbookDataModel",$F$38,6)</f>
        <v/>
      </c>
      <c r="C45" s="25">
        <f>CUBEVALUE("ThisWorkbookDataModel","[Measures].[Net Sales]",CUBERANKEDMEMBER("ThisWorkbookDataModel",$F$38,6))</f>
        <v/>
      </c>
    </row>
    <row r="46">
      <c r="B46" s="24">
        <f>CUBERANKEDMEMBER("ThisWorkbookDataModel",$F$38,7)</f>
        <v/>
      </c>
      <c r="C46" s="25">
        <f>CUBEVALUE("ThisWorkbookDataModel","[Measures].[Net Sales]",CUBERANKEDMEMBER("ThisWorkbookDataModel",$F$38,7))</f>
        <v/>
      </c>
    </row>
    <row r="47">
      <c r="B47" s="24">
        <f>CUBERANKEDMEMBER("ThisWorkbookDataModel",$F$38,8)</f>
        <v/>
      </c>
      <c r="C47" s="25">
        <f>CUBEVALUE("ThisWorkbookDataModel","[Measures].[Net Sales]",CUBERANKEDMEMBER("ThisWorkbookDataModel",$F$38,8))</f>
        <v/>
      </c>
    </row>
    <row r="50">
      <c r="B50" s="11" t="inlineStr">
        <is>
          <t>SALES BY COLLECTION</t>
        </is>
      </c>
    </row>
    <row r="51">
      <c r="B51" s="11" t="inlineStr">
        <is>
          <t>Sales by Collection (Top 8 by Net Sales)</t>
        </is>
      </c>
      <c r="F51" s="23">
        <f>CUBESET("ThisWorkbookDataModel","{[DIM_Collection].[Title].Children}","Sales by Collection (Top 8 by Net Sales)","BDESC","[Measures].[Net Sales]")</f>
        <v/>
      </c>
    </row>
    <row r="52">
      <c r="B52" s="32" t="inlineStr">
        <is>
          <t>Title</t>
        </is>
      </c>
      <c r="C52" s="32" t="inlineStr">
        <is>
          <t>Net Sales</t>
        </is>
      </c>
    </row>
    <row r="53">
      <c r="B53" s="24">
        <f>CUBERANKEDMEMBER("ThisWorkbookDataModel",$F$51,1)</f>
        <v/>
      </c>
      <c r="C53" s="25">
        <f>CUBEVALUE("ThisWorkbookDataModel","[Measures].[Net Sales]",CUBERANKEDMEMBER("ThisWorkbookDataModel",$F$51,1))</f>
        <v/>
      </c>
    </row>
    <row r="54">
      <c r="B54" s="24">
        <f>CUBERANKEDMEMBER("ThisWorkbookDataModel",$F$51,2)</f>
        <v/>
      </c>
      <c r="C54" s="25">
        <f>CUBEVALUE("ThisWorkbookDataModel","[Measures].[Net Sales]",CUBERANKEDMEMBER("ThisWorkbookDataModel",$F$51,2))</f>
        <v/>
      </c>
    </row>
    <row r="55">
      <c r="B55" s="24">
        <f>CUBERANKEDMEMBER("ThisWorkbookDataModel",$F$51,3)</f>
        <v/>
      </c>
      <c r="C55" s="25">
        <f>CUBEVALUE("ThisWorkbookDataModel","[Measures].[Net Sales]",CUBERANKEDMEMBER("ThisWorkbookDataModel",$F$51,3))</f>
        <v/>
      </c>
    </row>
    <row r="56">
      <c r="B56" s="24">
        <f>CUBERANKEDMEMBER("ThisWorkbookDataModel",$F$51,4)</f>
        <v/>
      </c>
      <c r="C56" s="25">
        <f>CUBEVALUE("ThisWorkbookDataModel","[Measures].[Net Sales]",CUBERANKEDMEMBER("ThisWorkbookDataModel",$F$51,4))</f>
        <v/>
      </c>
    </row>
    <row r="57">
      <c r="B57" s="24">
        <f>CUBERANKEDMEMBER("ThisWorkbookDataModel",$F$51,5)</f>
        <v/>
      </c>
      <c r="C57" s="25">
        <f>CUBEVALUE("ThisWorkbookDataModel","[Measures].[Net Sales]",CUBERANKEDMEMBER("ThisWorkbookDataModel",$F$51,5))</f>
        <v/>
      </c>
    </row>
    <row r="58">
      <c r="B58" s="24">
        <f>CUBERANKEDMEMBER("ThisWorkbookDataModel",$F$51,6)</f>
        <v/>
      </c>
      <c r="C58" s="25">
        <f>CUBEVALUE("ThisWorkbookDataModel","[Measures].[Net Sales]",CUBERANKEDMEMBER("ThisWorkbookDataModel",$F$51,6))</f>
        <v/>
      </c>
    </row>
    <row r="59">
      <c r="B59" s="24">
        <f>CUBERANKEDMEMBER("ThisWorkbookDataModel",$F$51,7)</f>
        <v/>
      </c>
      <c r="C59" s="25">
        <f>CUBEVALUE("ThisWorkbookDataModel","[Measures].[Net Sales]",CUBERANKEDMEMBER("ThisWorkbookDataModel",$F$51,7))</f>
        <v/>
      </c>
    </row>
    <row r="60">
      <c r="B60" s="24">
        <f>CUBERANKEDMEMBER("ThisWorkbookDataModel",$F$51,8)</f>
        <v/>
      </c>
      <c r="C60" s="25">
        <f>CUBEVALUE("ThisWorkbookDataModel","[Measures].[Net Sales]",CUBERANKEDMEMBER("ThisWorkbookDataModel",$F$51,8))</f>
        <v/>
      </c>
    </row>
    <row r="63">
      <c r="B63" s="11" t="inlineStr">
        <is>
          <t>ORDER LIST</t>
        </is>
      </c>
    </row>
    <row r="64">
      <c r="B64" s="33" t="inlineStr">
        <is>
          <t>[ Order List (Table) — Not implementable: No Order-level dimension exists in the Data Model — CUBE functions browse dimension members (Product/Collection/Customer/Location/Date), not individual fact rows, so a row-level order list can't be built this way without adding a new Data Model object, which is out of scope (architecture frozen). The full, live order list is RAW_Orders itself, already wired once Power Query is set up. ]</t>
        </is>
      </c>
      <c r="C64" s="34" t="n"/>
      <c r="D64" s="34" t="n"/>
      <c r="E64" s="34" t="n"/>
      <c r="F64" s="34" t="n"/>
      <c r="G64" s="34" t="n"/>
      <c r="H64" s="34" t="n"/>
      <c r="I64" s="34" t="n"/>
      <c r="J64" s="34" t="n"/>
      <c r="K64" s="34" t="n"/>
    </row>
    <row r="65">
      <c r="B65" s="34" t="n"/>
      <c r="C65" s="34" t="n"/>
      <c r="D65" s="34" t="n"/>
      <c r="E65" s="34" t="n"/>
      <c r="F65" s="34" t="n"/>
      <c r="G65" s="34" t="n"/>
      <c r="H65" s="34" t="n"/>
      <c r="I65" s="34" t="n"/>
      <c r="J65" s="34" t="n"/>
      <c r="K65" s="34" t="n"/>
    </row>
    <row r="66">
      <c r="B66" s="34" t="n"/>
      <c r="C66" s="34" t="n"/>
      <c r="D66" s="34" t="n"/>
      <c r="E66" s="34" t="n"/>
      <c r="F66" s="34" t="n"/>
      <c r="G66" s="34" t="n"/>
      <c r="H66" s="34" t="n"/>
      <c r="I66" s="34" t="n"/>
      <c r="J66" s="34" t="n"/>
      <c r="K66" s="34" t="n"/>
    </row>
    <row r="68">
      <c r="B68" s="20" t="inlineStr">
        <is>
          <t>↓ Drill into Orders</t>
        </is>
      </c>
    </row>
  </sheetData>
  <sheetProtection selectLockedCells="0" selectUnlockedCells="0" sheet="1" objects="0" insertRows="0" insertHyperlinks="1" autoFilter="1" scenarios="0" formatColumns="0" deleteColumns="0" insertColumns="0" pivotTables="0" deleteRows="0" formatCells="0" formatRows="0" sort="1" password="C24F"/>
  <mergeCells count="17">
    <mergeCell ref="B4:L4"/>
    <mergeCell ref="A2:L2"/>
    <mergeCell ref="B12:C13"/>
    <mergeCell ref="F11:G11"/>
    <mergeCell ref="H11:I11"/>
    <mergeCell ref="H12:I13"/>
    <mergeCell ref="B6:L6"/>
    <mergeCell ref="B11:C11"/>
    <mergeCell ref="F12:G13"/>
    <mergeCell ref="D11:E11"/>
    <mergeCell ref="B7:L7"/>
    <mergeCell ref="A1:L1"/>
    <mergeCell ref="D12:E13"/>
    <mergeCell ref="B5:L5"/>
    <mergeCell ref="B64:K66"/>
    <mergeCell ref="A3:L3"/>
    <mergeCell ref="B8:L8"/>
  </mergeCells>
  <hyperlinks>
    <hyperlink xmlns:r="http://schemas.openxmlformats.org/officeDocument/2006/relationships" ref="A2" r:id="rId1"/>
    <hyperlink xmlns:r="http://schemas.openxmlformats.org/officeDocument/2006/relationships" ref="B68" r:id="rId2"/>
  </hyperlinks>
  <pageMargins left="0.75" right="0.75" top="1" bottom="1" header="0.5" footer="0.5"/>
  <drawing xmlns:r="http://schemas.openxmlformats.org/officeDocument/2006/relationships" r:id="rId3"/>
</worksheet>
</file>

<file path=xl/worksheets/sheet5.xml><?xml version="1.0" encoding="utf-8"?>
<worksheet xmlns="http://schemas.openxmlformats.org/spreadsheetml/2006/main">
  <sheetPr>
    <tabColor rgb="00404040"/>
    <outlinePr applyStyles="1" summaryBelow="0" summaryRight="1"/>
    <pageSetUpPr/>
  </sheetPr>
  <dimension ref="A1:S57"/>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Products</t>
        </is>
      </c>
    </row>
    <row r="2" ht="16" customHeight="1">
      <c r="A2" s="17" t="inlineStr">
        <is>
          <t>PASSRESS MIS   |   Home ▸ Products</t>
        </is>
      </c>
    </row>
    <row r="3" ht="14" customHeight="1">
      <c r="A3" s="3" t="inlineStr">
        <is>
          <t>Sheet Documentation  (use the  +  outline control at left to expand)</t>
        </is>
      </c>
    </row>
    <row r="4" hidden="1" outlineLevel="1" ht="13" customHeight="1">
      <c r="A4" s="4" t="inlineStr">
        <is>
          <t>Purpose</t>
        </is>
      </c>
      <c r="B4" s="5" t="inlineStr">
        <is>
          <t>Product-level performance dashboard PLUS, as of Phase 3, the Product Cost Master — the workbook's historical/versioned SKU costing table.</t>
        </is>
      </c>
    </row>
    <row r="5" hidden="1" outlineLevel="1" ht="13" customHeight="1">
      <c r="A5" s="4" t="inlineStr">
        <is>
          <t>Input tables</t>
        </is>
      </c>
      <c r="B5" s="5" t="inlineStr">
        <is>
          <t>DIM_Product, FACT_OrderLines (dashboard). RAW_Variants, RAW_Collections (Product Cost Master dropdowns).</t>
        </is>
      </c>
    </row>
    <row r="6" hidden="1" outlineLevel="1" ht="13" customHeight="1">
      <c r="A6" s="4" t="inlineStr">
        <is>
          <t>Output tables</t>
        </is>
      </c>
      <c r="B6" s="5" t="inlineStr">
        <is>
          <t>Product KPI row, Top 10 Products chart, Product Margin breakdown table (CUBE-function substitute for a PivotTable). tbl_ProductCostMaster feeding DIM_ProductCostHistory.</t>
        </is>
      </c>
    </row>
    <row r="7" hidden="1" outlineLevel="1" ht="13" customHeight="1">
      <c r="A7" s="4" t="inlineStr">
        <is>
          <t>Relationships</t>
        </is>
      </c>
      <c r="B7" s="5" t="inlineStr">
        <is>
          <t>DIM_Product links to FACT_OrderLines on ProductKey. tbl_ProductCostMaster[SKU] links to RAW_Variants[SKU]; COGS is matched via fn_GetEffectiveCost (SKU + order date against Effective From/To Date).</t>
        </is>
      </c>
    </row>
    <row r="8" hidden="1" outlineLevel="1" ht="13" customHeight="1">
      <c r="A8" s="4" t="inlineStr">
        <is>
          <t>Future data source</t>
        </is>
      </c>
      <c r="B8" s="5" t="inlineStr">
        <is>
          <t>Live now: dashboard reads dax/MEASURES.md measures directly. Product Cost Master is manual entry — see PHASE3_DOCUMENTATION.md §1.</t>
        </is>
      </c>
    </row>
    <row r="9" hidden="1" outlineLevel="1"/>
    <row r="10" ht="6" customHeight="1"/>
    <row r="11" ht="15" customHeight="1">
      <c r="B11" s="6" t="inlineStr">
        <is>
          <t>ACTIVE SKUS</t>
        </is>
      </c>
      <c r="C11" s="7" t="n"/>
      <c r="D11" s="6" t="inlineStr">
        <is>
          <t>BEST SELLER</t>
        </is>
      </c>
      <c r="E11" s="7" t="n"/>
      <c r="F11" s="6" t="inlineStr">
        <is>
          <t>AVG MARGIN %</t>
        </is>
      </c>
      <c r="G11" s="7" t="n"/>
      <c r="H11" s="6" t="inlineStr">
        <is>
          <t>SLOW MOVERS</t>
        </is>
      </c>
      <c r="I11" s="7" t="n"/>
      <c r="N11" s="23">
        <f>CUBESET("ThisWorkbookDataModel","{[DIM_Product].[Title].Children}","BestSellerProduct","BDESC","[Measures].[Net Sales]")</f>
        <v/>
      </c>
    </row>
    <row r="12" ht="22" customHeight="1">
      <c r="B12" s="9" t="inlineStr">
        <is>
          <t>N/A</t>
        </is>
      </c>
      <c r="C12" s="7" t="n"/>
      <c r="D12" s="35">
        <f>CUBERANKEDMEMBER("ThisWorkbookDataModel",$N$11,1)</f>
        <v/>
      </c>
      <c r="E12" s="7" t="n"/>
      <c r="F12" s="19">
        <f>CUBEVALUE("ThisWorkbookDataModel","[Measures].[Gross Margin %]")</f>
        <v/>
      </c>
      <c r="G12" s="7" t="n"/>
      <c r="H12" s="18">
        <f>CUBEVALUE("ThisWorkbookDataModel","[Measures].[Slow Moving SKU Count]")</f>
        <v/>
      </c>
      <c r="I12" s="7" t="n"/>
    </row>
    <row r="13" ht="22" customHeight="1">
      <c r="B13" s="7" t="n"/>
      <c r="C13" s="7" t="n"/>
      <c r="D13" s="7" t="n"/>
      <c r="E13" s="7" t="n"/>
      <c r="F13" s="7" t="n"/>
      <c r="G13" s="7" t="n"/>
      <c r="H13" s="7" t="n"/>
      <c r="I13" s="7" t="n"/>
    </row>
    <row r="16">
      <c r="B16" s="11" t="inlineStr">
        <is>
          <t>TOP 10 PRODUCTS  (by Net Sales)</t>
        </is>
      </c>
    </row>
    <row r="17">
      <c r="N17" s="23">
        <f>CUBESET("ThisWorkbookDataModel","{[DIM_Product].[Title].Children}","Top10Products","BDESC","[Measures].[Net Sales]")</f>
        <v/>
      </c>
    </row>
    <row r="18">
      <c r="B18" s="24">
        <f>CUBERANKEDMEMBER("ThisWorkbookDataModel",$N$17,1)</f>
        <v/>
      </c>
      <c r="D18" s="25">
        <f>CUBEVALUE("ThisWorkbookDataModel","[Measures].[Net Sales]",CUBERANKEDMEMBER("ThisWorkbookDataModel",$N$17,1))</f>
        <v/>
      </c>
    </row>
    <row r="19">
      <c r="B19" s="24">
        <f>CUBERANKEDMEMBER("ThisWorkbookDataModel",$N$17,2)</f>
        <v/>
      </c>
      <c r="D19" s="25">
        <f>CUBEVALUE("ThisWorkbookDataModel","[Measures].[Net Sales]",CUBERANKEDMEMBER("ThisWorkbookDataModel",$N$17,2))</f>
        <v/>
      </c>
    </row>
    <row r="20">
      <c r="B20" s="24">
        <f>CUBERANKEDMEMBER("ThisWorkbookDataModel",$N$17,3)</f>
        <v/>
      </c>
      <c r="D20" s="25">
        <f>CUBEVALUE("ThisWorkbookDataModel","[Measures].[Net Sales]",CUBERANKEDMEMBER("ThisWorkbookDataModel",$N$17,3))</f>
        <v/>
      </c>
    </row>
    <row r="21">
      <c r="B21" s="24">
        <f>CUBERANKEDMEMBER("ThisWorkbookDataModel",$N$17,4)</f>
        <v/>
      </c>
      <c r="D21" s="25">
        <f>CUBEVALUE("ThisWorkbookDataModel","[Measures].[Net Sales]",CUBERANKEDMEMBER("ThisWorkbookDataModel",$N$17,4))</f>
        <v/>
      </c>
    </row>
    <row r="22">
      <c r="B22" s="24">
        <f>CUBERANKEDMEMBER("ThisWorkbookDataModel",$N$17,5)</f>
        <v/>
      </c>
      <c r="D22" s="25">
        <f>CUBEVALUE("ThisWorkbookDataModel","[Measures].[Net Sales]",CUBERANKEDMEMBER("ThisWorkbookDataModel",$N$17,5))</f>
        <v/>
      </c>
    </row>
    <row r="23">
      <c r="B23" s="24">
        <f>CUBERANKEDMEMBER("ThisWorkbookDataModel",$N$17,6)</f>
        <v/>
      </c>
      <c r="D23" s="25">
        <f>CUBEVALUE("ThisWorkbookDataModel","[Measures].[Net Sales]",CUBERANKEDMEMBER("ThisWorkbookDataModel",$N$17,6))</f>
        <v/>
      </c>
    </row>
    <row r="24">
      <c r="B24" s="24">
        <f>CUBERANKEDMEMBER("ThisWorkbookDataModel",$N$17,7)</f>
        <v/>
      </c>
      <c r="D24" s="25">
        <f>CUBEVALUE("ThisWorkbookDataModel","[Measures].[Net Sales]",CUBERANKEDMEMBER("ThisWorkbookDataModel",$N$17,7))</f>
        <v/>
      </c>
    </row>
    <row r="25">
      <c r="B25" s="24">
        <f>CUBERANKEDMEMBER("ThisWorkbookDataModel",$N$17,8)</f>
        <v/>
      </c>
      <c r="D25" s="25">
        <f>CUBEVALUE("ThisWorkbookDataModel","[Measures].[Net Sales]",CUBERANKEDMEMBER("ThisWorkbookDataModel",$N$17,8))</f>
        <v/>
      </c>
    </row>
    <row r="26">
      <c r="B26" s="24">
        <f>CUBERANKEDMEMBER("ThisWorkbookDataModel",$N$17,9)</f>
        <v/>
      </c>
      <c r="D26" s="25">
        <f>CUBEVALUE("ThisWorkbookDataModel","[Measures].[Net Sales]",CUBERANKEDMEMBER("ThisWorkbookDataModel",$N$17,9))</f>
        <v/>
      </c>
    </row>
    <row r="27">
      <c r="B27" s="24">
        <f>CUBERANKEDMEMBER("ThisWorkbookDataModel",$N$17,10)</f>
        <v/>
      </c>
      <c r="D27" s="25">
        <f>CUBEVALUE("ThisWorkbookDataModel","[Measures].[Net Sales]",CUBERANKEDMEMBER("ThisWorkbookDataModel",$N$17,10))</f>
        <v/>
      </c>
    </row>
    <row r="29">
      <c r="B29" s="11" t="inlineStr">
        <is>
          <t>PRODUCT MARGIN</t>
        </is>
      </c>
    </row>
    <row r="30">
      <c r="B30" s="11" t="inlineStr">
        <is>
          <t>Product Margin (Top 8 by Gross Profit)</t>
        </is>
      </c>
      <c r="H30" s="23">
        <f>CUBESET("ThisWorkbookDataModel","{[DIM_Product].[Title].Children}","Product Margin (Top 8 by Gross Profit)","BDESC","[Measures].[Gross Profit]")</f>
        <v/>
      </c>
    </row>
    <row r="31">
      <c r="B31" s="32" t="inlineStr">
        <is>
          <t>Title</t>
        </is>
      </c>
      <c r="C31" s="32" t="inlineStr">
        <is>
          <t>Net Sales</t>
        </is>
      </c>
      <c r="D31" s="32" t="inlineStr">
        <is>
          <t>Gross Profit</t>
        </is>
      </c>
      <c r="E31" s="32" t="inlineStr">
        <is>
          <t>Gross Margin %</t>
        </is>
      </c>
    </row>
    <row r="32">
      <c r="B32" s="24">
        <f>CUBERANKEDMEMBER("ThisWorkbookDataModel",$H$30,1)</f>
        <v/>
      </c>
      <c r="C32" s="25">
        <f>CUBEVALUE("ThisWorkbookDataModel","[Measures].[Net Sales]",CUBERANKEDMEMBER("ThisWorkbookDataModel",$H$30,1))</f>
        <v/>
      </c>
      <c r="D32" s="25">
        <f>CUBEVALUE("ThisWorkbookDataModel","[Measures].[Gross Profit]",CUBERANKEDMEMBER("ThisWorkbookDataModel",$H$30,1))</f>
        <v/>
      </c>
      <c r="E32" s="36">
        <f>CUBEVALUE("ThisWorkbookDataModel","[Measures].[Gross Margin %]",CUBERANKEDMEMBER("ThisWorkbookDataModel",$H$30,1))</f>
        <v/>
      </c>
    </row>
    <row r="33">
      <c r="B33" s="24">
        <f>CUBERANKEDMEMBER("ThisWorkbookDataModel",$H$30,2)</f>
        <v/>
      </c>
      <c r="C33" s="25">
        <f>CUBEVALUE("ThisWorkbookDataModel","[Measures].[Net Sales]",CUBERANKEDMEMBER("ThisWorkbookDataModel",$H$30,2))</f>
        <v/>
      </c>
      <c r="D33" s="25">
        <f>CUBEVALUE("ThisWorkbookDataModel","[Measures].[Gross Profit]",CUBERANKEDMEMBER("ThisWorkbookDataModel",$H$30,2))</f>
        <v/>
      </c>
      <c r="E33" s="36">
        <f>CUBEVALUE("ThisWorkbookDataModel","[Measures].[Gross Margin %]",CUBERANKEDMEMBER("ThisWorkbookDataModel",$H$30,2))</f>
        <v/>
      </c>
    </row>
    <row r="34">
      <c r="B34" s="24">
        <f>CUBERANKEDMEMBER("ThisWorkbookDataModel",$H$30,3)</f>
        <v/>
      </c>
      <c r="C34" s="25">
        <f>CUBEVALUE("ThisWorkbookDataModel","[Measures].[Net Sales]",CUBERANKEDMEMBER("ThisWorkbookDataModel",$H$30,3))</f>
        <v/>
      </c>
      <c r="D34" s="25">
        <f>CUBEVALUE("ThisWorkbookDataModel","[Measures].[Gross Profit]",CUBERANKEDMEMBER("ThisWorkbookDataModel",$H$30,3))</f>
        <v/>
      </c>
      <c r="E34" s="36">
        <f>CUBEVALUE("ThisWorkbookDataModel","[Measures].[Gross Margin %]",CUBERANKEDMEMBER("ThisWorkbookDataModel",$H$30,3))</f>
        <v/>
      </c>
    </row>
    <row r="35">
      <c r="B35" s="24">
        <f>CUBERANKEDMEMBER("ThisWorkbookDataModel",$H$30,4)</f>
        <v/>
      </c>
      <c r="C35" s="25">
        <f>CUBEVALUE("ThisWorkbookDataModel","[Measures].[Net Sales]",CUBERANKEDMEMBER("ThisWorkbookDataModel",$H$30,4))</f>
        <v/>
      </c>
      <c r="D35" s="25">
        <f>CUBEVALUE("ThisWorkbookDataModel","[Measures].[Gross Profit]",CUBERANKEDMEMBER("ThisWorkbookDataModel",$H$30,4))</f>
        <v/>
      </c>
      <c r="E35" s="36">
        <f>CUBEVALUE("ThisWorkbookDataModel","[Measures].[Gross Margin %]",CUBERANKEDMEMBER("ThisWorkbookDataModel",$H$30,4))</f>
        <v/>
      </c>
    </row>
    <row r="36">
      <c r="B36" s="24">
        <f>CUBERANKEDMEMBER("ThisWorkbookDataModel",$H$30,5)</f>
        <v/>
      </c>
      <c r="C36" s="25">
        <f>CUBEVALUE("ThisWorkbookDataModel","[Measures].[Net Sales]",CUBERANKEDMEMBER("ThisWorkbookDataModel",$H$30,5))</f>
        <v/>
      </c>
      <c r="D36" s="25">
        <f>CUBEVALUE("ThisWorkbookDataModel","[Measures].[Gross Profit]",CUBERANKEDMEMBER("ThisWorkbookDataModel",$H$30,5))</f>
        <v/>
      </c>
      <c r="E36" s="36">
        <f>CUBEVALUE("ThisWorkbookDataModel","[Measures].[Gross Margin %]",CUBERANKEDMEMBER("ThisWorkbookDataModel",$H$30,5))</f>
        <v/>
      </c>
    </row>
    <row r="37">
      <c r="B37" s="24">
        <f>CUBERANKEDMEMBER("ThisWorkbookDataModel",$H$30,6)</f>
        <v/>
      </c>
      <c r="C37" s="25">
        <f>CUBEVALUE("ThisWorkbookDataModel","[Measures].[Net Sales]",CUBERANKEDMEMBER("ThisWorkbookDataModel",$H$30,6))</f>
        <v/>
      </c>
      <c r="D37" s="25">
        <f>CUBEVALUE("ThisWorkbookDataModel","[Measures].[Gross Profit]",CUBERANKEDMEMBER("ThisWorkbookDataModel",$H$30,6))</f>
        <v/>
      </c>
      <c r="E37" s="36">
        <f>CUBEVALUE("ThisWorkbookDataModel","[Measures].[Gross Margin %]",CUBERANKEDMEMBER("ThisWorkbookDataModel",$H$30,6))</f>
        <v/>
      </c>
    </row>
    <row r="38">
      <c r="B38" s="24">
        <f>CUBERANKEDMEMBER("ThisWorkbookDataModel",$H$30,7)</f>
        <v/>
      </c>
      <c r="C38" s="25">
        <f>CUBEVALUE("ThisWorkbookDataModel","[Measures].[Net Sales]",CUBERANKEDMEMBER("ThisWorkbookDataModel",$H$30,7))</f>
        <v/>
      </c>
      <c r="D38" s="25">
        <f>CUBEVALUE("ThisWorkbookDataModel","[Measures].[Gross Profit]",CUBERANKEDMEMBER("ThisWorkbookDataModel",$H$30,7))</f>
        <v/>
      </c>
      <c r="E38" s="36">
        <f>CUBEVALUE("ThisWorkbookDataModel","[Measures].[Gross Margin %]",CUBERANKEDMEMBER("ThisWorkbookDataModel",$H$30,7))</f>
        <v/>
      </c>
    </row>
    <row r="39">
      <c r="B39" s="24">
        <f>CUBERANKEDMEMBER("ThisWorkbookDataModel",$H$30,8)</f>
        <v/>
      </c>
      <c r="C39" s="25">
        <f>CUBEVALUE("ThisWorkbookDataModel","[Measures].[Net Sales]",CUBERANKEDMEMBER("ThisWorkbookDataModel",$H$30,8))</f>
        <v/>
      </c>
      <c r="D39" s="25">
        <f>CUBEVALUE("ThisWorkbookDataModel","[Measures].[Gross Profit]",CUBERANKEDMEMBER("ThisWorkbookDataModel",$H$30,8))</f>
        <v/>
      </c>
      <c r="E39" s="36">
        <f>CUBEVALUE("ThisWorkbookDataModel","[Measures].[Gross Margin %]",CUBERANKEDMEMBER("ThisWorkbookDataModel",$H$30,8))</f>
        <v/>
      </c>
    </row>
    <row r="42">
      <c r="B42" s="11" t="inlineStr">
        <is>
          <t>VARIANT DETAIL</t>
        </is>
      </c>
    </row>
    <row r="43">
      <c r="B43" s="33" t="inlineStr">
        <is>
          <t>[ Variant Detail (PivotTable) — Not implementable: SKU/variant attributes (Price, Compare-at Price, current Unit Cost, Status) are row-level dimension data, not aggregate measures — CUBE functions can rank/aggregate a dimension's members by a measure (used above), but can't display raw per-row attribute columns the way a real PivotTable's row area can. Full variant detail is on DIM_Product / RAW_Variants directly. ]</t>
        </is>
      </c>
      <c r="C43" s="34" t="n"/>
      <c r="D43" s="34" t="n"/>
      <c r="E43" s="34" t="n"/>
      <c r="F43" s="34" t="n"/>
      <c r="G43" s="34" t="n"/>
      <c r="H43" s="34" t="n"/>
      <c r="I43" s="34" t="n"/>
      <c r="J43" s="34" t="n"/>
      <c r="K43" s="34" t="n"/>
    </row>
    <row r="44">
      <c r="B44" s="34" t="n"/>
      <c r="C44" s="34" t="n"/>
      <c r="D44" s="34" t="n"/>
      <c r="E44" s="34" t="n"/>
      <c r="F44" s="34" t="n"/>
      <c r="G44" s="34" t="n"/>
      <c r="H44" s="34" t="n"/>
      <c r="I44" s="34" t="n"/>
      <c r="J44" s="34" t="n"/>
      <c r="K44" s="34" t="n"/>
    </row>
    <row r="45">
      <c r="B45" s="34" t="n"/>
      <c r="C45" s="34" t="n"/>
      <c r="D45" s="34" t="n"/>
      <c r="E45" s="34" t="n"/>
      <c r="F45" s="34" t="n"/>
      <c r="G45" s="34" t="n"/>
      <c r="H45" s="34" t="n"/>
      <c r="I45" s="34" t="n"/>
      <c r="J45" s="34" t="n"/>
      <c r="K45" s="34" t="n"/>
    </row>
    <row r="47">
      <c r="B47" s="20" t="inlineStr">
        <is>
          <t>↓ Drill into Product</t>
        </is>
      </c>
    </row>
    <row r="49">
      <c r="B49" s="37" t="inlineStr">
        <is>
          <t>KNOWN GAPS ON THIS SHEET  (documented, not silently missing)</t>
        </is>
      </c>
    </row>
    <row r="50" ht="24" customHeight="1">
      <c r="B50" s="5" t="inlineStr">
        <is>
          <t>Active SKUs: No DAX measure counts total/active SKUs — dax/MEASURES.md's Product Profitability section (§4) covers profit PER SKU via PivotTable row context, not a SKU-count aggregate. A DISTINCTCOUNT(DIM_Product[SKU]) measure doesn't exist in the library; adding one is out of this phase's reuse-only scope.</t>
        </is>
      </c>
    </row>
    <row r="53">
      <c r="B53" s="38" t="inlineStr">
        <is>
          <t>PRODUCT COST MASTER  (Phase 3 — green cells = type here; Cost ID, Total Landed Cost, Expected Gross Margin %, and the overlap warning are automatic)</t>
        </is>
      </c>
    </row>
    <row r="54" ht="24" customHeight="1">
      <c r="B54" s="20" t="inlineStr">
        <is>
          <t>Historical costing: never edit or delete a past row when a cost changes — add a NEW row for the new cost with its own Effective From Date, and set the OLD row's Effective To Date to the day before and its Active Flag to Inactive. Phase 4's COGS calculation will match each order line to the cost row whose SKU matches and whose Effective From/To range contains the order's date — so past orders keep using the cost that was actually active when they happened, even after costs change.</t>
        </is>
      </c>
    </row>
    <row r="56" ht="18" customHeight="1">
      <c r="B56" s="39" t="inlineStr">
        <is>
          <t>Cost ID</t>
        </is>
      </c>
      <c r="C56" s="39" t="inlineStr">
        <is>
          <t>SKU</t>
        </is>
      </c>
      <c r="D56" s="39" t="inlineStr">
        <is>
          <t>Product Name</t>
        </is>
      </c>
      <c r="E56" s="39" t="inlineStr">
        <is>
          <t>Variant</t>
        </is>
      </c>
      <c r="F56" s="39" t="inlineStr">
        <is>
          <t>Collection</t>
        </is>
      </c>
      <c r="G56" s="39" t="inlineStr">
        <is>
          <t>Fabric Cost</t>
        </is>
      </c>
      <c r="H56" s="39" t="inlineStr">
        <is>
          <t>Accessories Cost</t>
        </is>
      </c>
      <c r="I56" s="39" t="inlineStr">
        <is>
          <t>Manufacturing Cost</t>
        </is>
      </c>
      <c r="J56" s="39" t="inlineStr">
        <is>
          <t>Packaging Cost</t>
        </is>
      </c>
      <c r="K56" s="39" t="inlineStr">
        <is>
          <t>Shipping Cost</t>
        </is>
      </c>
      <c r="L56" s="39" t="inlineStr">
        <is>
          <t>Other Cost</t>
        </is>
      </c>
      <c r="M56" s="39" t="inlineStr">
        <is>
          <t>Total Landed Cost</t>
        </is>
      </c>
      <c r="N56" s="39" t="inlineStr">
        <is>
          <t>Selling Price</t>
        </is>
      </c>
      <c r="O56" s="39" t="inlineStr">
        <is>
          <t>Expected Gross Margin %</t>
        </is>
      </c>
      <c r="P56" s="39" t="inlineStr">
        <is>
          <t>Effective From Date</t>
        </is>
      </c>
      <c r="Q56" s="39" t="inlineStr">
        <is>
          <t>Effective To Date</t>
        </is>
      </c>
      <c r="R56" s="39" t="inlineStr">
        <is>
          <t>Active Flag</t>
        </is>
      </c>
      <c r="S56" s="39" t="inlineStr">
        <is>
          <t>Overlap Warning</t>
        </is>
      </c>
    </row>
    <row r="57">
      <c r="B57" s="30">
        <f>"COST-"&amp;TEXT(ROW()-56,"00000")</f>
        <v/>
      </c>
      <c r="C57" s="40" t="n"/>
      <c r="D57" s="40" t="inlineStr">
        <is>
          <t>EXAMPLE — Amara Wrap Dress</t>
        </is>
      </c>
      <c r="E57" s="40" t="inlineStr">
        <is>
          <t>Black / M</t>
        </is>
      </c>
      <c r="F57" s="40" t="n"/>
      <c r="G57" s="40" t="n">
        <v>180</v>
      </c>
      <c r="H57" s="40" t="n">
        <v>25</v>
      </c>
      <c r="I57" s="40" t="n">
        <v>90</v>
      </c>
      <c r="J57" s="40" t="n">
        <v>15</v>
      </c>
      <c r="K57" s="40" t="n">
        <v>20</v>
      </c>
      <c r="L57" s="40" t="n">
        <v>0</v>
      </c>
      <c r="M57" s="41">
        <f>SUM([@[Fabric Cost]],[@[Accessories Cost]],[@[Manufacturing Cost]],[@[Packaging Cost]],[@[Shipping Cost]],[@[Other Cost]])</f>
        <v/>
      </c>
      <c r="N57" s="40" t="n">
        <v>650</v>
      </c>
      <c r="O57" s="42">
        <f>IF([@[Selling Price]]=0,"",([@[Selling Price]]-[@[Total Landed Cost]])/[@[Selling Price]])</f>
        <v/>
      </c>
      <c r="P57" s="40" t="inlineStr">
        <is>
          <t>2026-01-01</t>
        </is>
      </c>
      <c r="Q57" s="40" t="n"/>
      <c r="R57" s="40" t="inlineStr">
        <is>
          <t>Active</t>
        </is>
      </c>
      <c r="S57" s="30">
        <f>IF(COUNTIFS(tbl_ProductCostMaster[SKU],[@SKU],tbl_ProductCostMaster[Active Flag],"Active")&gt;1,"Multiple Active cost rows for this SKU — deactivate all but the current one","")</f>
        <v/>
      </c>
    </row>
  </sheetData>
  <sheetProtection selectLockedCells="0" selectUnlockedCells="0" sheet="1" objects="0" insertRows="0" insertHyperlinks="1" autoFilter="1" scenarios="0" formatColumns="0" deleteColumns="0" insertColumns="0" pivotTables="0" deleteRows="0" formatCells="0" formatRows="0" sort="1" password="C24F"/>
  <mergeCells count="18">
    <mergeCell ref="B4:L4"/>
    <mergeCell ref="A2:L2"/>
    <mergeCell ref="B12:C13"/>
    <mergeCell ref="F11:G11"/>
    <mergeCell ref="H11:I11"/>
    <mergeCell ref="H12:I13"/>
    <mergeCell ref="B6:L6"/>
    <mergeCell ref="B11:C11"/>
    <mergeCell ref="F12:G13"/>
    <mergeCell ref="B50:L50"/>
    <mergeCell ref="D11:E11"/>
    <mergeCell ref="B7:L7"/>
    <mergeCell ref="A1:L1"/>
    <mergeCell ref="D12:E13"/>
    <mergeCell ref="B5:L5"/>
    <mergeCell ref="B43:K45"/>
    <mergeCell ref="A3:L3"/>
    <mergeCell ref="B8:L8"/>
  </mergeCells>
  <dataValidations count="3">
    <dataValidation sqref="C57:C501" showDropDown="0" showInputMessage="1" showErrorMessage="1" allowBlank="1" errorTitle="Invalid entry" error="Please choose a value from the SKU list — free text isn't accepted here." promptTitle="SKU" prompt="Choose a live Shopify SKU." type="list" errorStyle="stop">
      <formula1>=SKUList</formula1>
    </dataValidation>
    <dataValidation sqref="F57:F501" showDropDown="0" showInputMessage="1" showErrorMessage="1" allowBlank="1" errorTitle="Invalid entry" error="Please choose a value from the Collection list — free text isn't accepted here." promptTitle="Collection" prompt="Choose a live Shopify collection." type="list" errorStyle="stop">
      <formula1>=CollectionTitleList</formula1>
    </dataValidation>
    <dataValidation sqref="R57:R501" showDropDown="0" showInputMessage="1" showErrorMessage="1" allowBlank="1" errorTitle="Invalid entry" error="Choose Active or Inactive." promptTitle="Active Flag" prompt="Only ONE row per SKU should be Active at a time — see the historical-costing note above." type="list" errorStyle="stop">
      <formula1>"Active,Inactive"</formula1>
    </dataValidation>
  </dataValidations>
  <hyperlinks>
    <hyperlink xmlns:r="http://schemas.openxmlformats.org/officeDocument/2006/relationships" ref="A2" r:id="rId1"/>
    <hyperlink xmlns:r="http://schemas.openxmlformats.org/officeDocument/2006/relationships" ref="B47" r:id="rId2"/>
  </hyperlinks>
  <pageMargins left="0.75" right="0.75" top="1" bottom="1" header="0.5" footer="0.5"/>
  <drawing xmlns:r="http://schemas.openxmlformats.org/officeDocument/2006/relationships" r:id="rId3"/>
  <tableParts count="1">
    <tablePart xmlns:r="http://schemas.openxmlformats.org/officeDocument/2006/relationships" r:id="rId4"/>
  </tableParts>
</worksheet>
</file>

<file path=xl/worksheets/sheet6.xml><?xml version="1.0" encoding="utf-8"?>
<worksheet xmlns="http://schemas.openxmlformats.org/spreadsheetml/2006/main">
  <sheetPr>
    <tabColor rgb="00404040"/>
    <outlinePr applyStyles="1" summaryBelow="0" summaryRight="1"/>
    <pageSetUpPr/>
  </sheetPr>
  <dimension ref="A1:L52"/>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Customers</t>
        </is>
      </c>
    </row>
    <row r="2" ht="16" customHeight="1">
      <c r="A2" s="17" t="inlineStr">
        <is>
          <t>PASSRESS MIS   |   Home ▸ Customers</t>
        </is>
      </c>
    </row>
    <row r="3" ht="14" customHeight="1">
      <c r="A3" s="3" t="inlineStr">
        <is>
          <t>Sheet Documentation  (use the  +  outline control at left to expand)</t>
        </is>
      </c>
    </row>
    <row r="4" hidden="1" outlineLevel="1" ht="13" customHeight="1">
      <c r="A4" s="4" t="inlineStr">
        <is>
          <t>Purpose</t>
        </is>
      </c>
      <c r="B4" s="5" t="inlineStr">
        <is>
          <t>Customer analytics — lifetime value, repeat-purchase rate, and geography.</t>
        </is>
      </c>
    </row>
    <row r="5" hidden="1" outlineLevel="1" ht="13" customHeight="1">
      <c r="A5" s="4" t="inlineStr">
        <is>
          <t>Input tables</t>
        </is>
      </c>
      <c r="B5" s="5" t="inlineStr">
        <is>
          <t>DIM_Customer, FACT_OrderLines.</t>
        </is>
      </c>
    </row>
    <row r="6" hidden="1" outlineLevel="1" ht="13" customHeight="1">
      <c r="A6" s="4" t="inlineStr">
        <is>
          <t>Output tables</t>
        </is>
      </c>
      <c r="B6" s="5" t="inlineStr">
        <is>
          <t>Customer KPI row, Top Customers / Geography breakdown tables (CUBE-function substitutes for a PivotTable).</t>
        </is>
      </c>
    </row>
    <row r="7" hidden="1" outlineLevel="1" ht="13" customHeight="1">
      <c r="A7" s="4" t="inlineStr">
        <is>
          <t>Relationships</t>
        </is>
      </c>
      <c r="B7" s="5" t="inlineStr">
        <is>
          <t>DIM_Customer links to FACT_OrderLines on CustomerKey.</t>
        </is>
      </c>
    </row>
    <row r="8" hidden="1" outlineLevel="1" ht="13" customHeight="1">
      <c r="A8" s="4" t="inlineStr">
        <is>
          <t>Future data source</t>
        </is>
      </c>
      <c r="B8" s="5" t="inlineStr">
        <is>
          <t>Live now: reads dax/MEASURES.md's Customer Metrics measures (§5) directly.</t>
        </is>
      </c>
    </row>
    <row r="9" hidden="1" outlineLevel="1"/>
    <row r="10" ht="6" customHeight="1"/>
    <row r="11" ht="15" customHeight="1">
      <c r="B11" s="6" t="inlineStr">
        <is>
          <t>TOTAL CUSTOMERS</t>
        </is>
      </c>
      <c r="C11" s="7" t="n"/>
      <c r="D11" s="6" t="inlineStr">
        <is>
          <t>NEW CUSTOMERS</t>
        </is>
      </c>
      <c r="E11" s="7" t="n"/>
      <c r="F11" s="6" t="inlineStr">
        <is>
          <t>REPEAT RATE %</t>
        </is>
      </c>
      <c r="G11" s="7" t="n"/>
      <c r="H11" s="6" t="inlineStr">
        <is>
          <t>AVG LTV</t>
        </is>
      </c>
      <c r="I11" s="7" t="n"/>
    </row>
    <row r="12" ht="22" customHeight="1">
      <c r="B12" s="9" t="inlineStr">
        <is>
          <t>N/A</t>
        </is>
      </c>
      <c r="C12" s="7" t="n"/>
      <c r="D12" s="18">
        <f>CUBEVALUE("ThisWorkbookDataModel","[Measures].[New Customers]")</f>
        <v/>
      </c>
      <c r="E12" s="7" t="n"/>
      <c r="F12" s="19">
        <f>CUBEVALUE("ThisWorkbookDataModel","[Measures].[Repeat Customer % Actual]")</f>
        <v/>
      </c>
      <c r="G12" s="7" t="n"/>
      <c r="H12" s="18">
        <f>CUBEVALUE("ThisWorkbookDataModel","[Measures].[Customer Lifetime Value (Historical)]")</f>
        <v/>
      </c>
      <c r="I12" s="7" t="n"/>
    </row>
    <row r="13" ht="22" customHeight="1">
      <c r="B13" s="7" t="n"/>
      <c r="C13" s="7" t="n"/>
      <c r="D13" s="7" t="n"/>
      <c r="E13" s="7" t="n"/>
      <c r="F13" s="7" t="n"/>
      <c r="G13" s="7" t="n"/>
      <c r="H13" s="7" t="n"/>
      <c r="I13" s="7" t="n"/>
    </row>
    <row r="16">
      <c r="B16" s="11" t="inlineStr">
        <is>
          <t>COHORT TREND / COHORT TABLE</t>
        </is>
      </c>
    </row>
    <row r="17">
      <c r="B17" s="33" t="inlineStr">
        <is>
          <t>[ Cohort Trend (Chart) / Cohort Table (PivotTable) — Not implementable: dax/MEASURES.md §5 documents Customer Cohorts as a PivotTable LAYOUT (DIM_Customer[CohortMonth] on rows, DIM_Date[MonthName]/[Year] on columns), not a single measure — it is inherently a 2-dimensional matrix. CUBE functions here rank a single dimension by a single measure (used everywhere else on this sheet); reproducing a true cohort matrix would need nested CUBESET/CUBEVALUE expressions per cohort-month x calendar-month intersection — the same class of advanced, execution-untestable MDX pattern already flagged as a confidence risk in dax/README.md and the Phase 5/6 documentation. Not attempted rather than shipped unverified. ]</t>
        </is>
      </c>
      <c r="C17" s="34" t="n"/>
      <c r="D17" s="34" t="n"/>
      <c r="E17" s="34" t="n"/>
      <c r="F17" s="34" t="n"/>
      <c r="G17" s="34" t="n"/>
      <c r="H17" s="34" t="n"/>
      <c r="I17" s="34" t="n"/>
      <c r="J17" s="34" t="n"/>
      <c r="K17" s="34" t="n"/>
    </row>
    <row r="18">
      <c r="B18" s="34" t="n"/>
      <c r="C18" s="34" t="n"/>
      <c r="D18" s="34" t="n"/>
      <c r="E18" s="34" t="n"/>
      <c r="F18" s="34" t="n"/>
      <c r="G18" s="34" t="n"/>
      <c r="H18" s="34" t="n"/>
      <c r="I18" s="34" t="n"/>
      <c r="J18" s="34" t="n"/>
      <c r="K18" s="34" t="n"/>
    </row>
    <row r="19">
      <c r="B19" s="34" t="n"/>
      <c r="C19" s="34" t="n"/>
      <c r="D19" s="34" t="n"/>
      <c r="E19" s="34" t="n"/>
      <c r="F19" s="34" t="n"/>
      <c r="G19" s="34" t="n"/>
      <c r="H19" s="34" t="n"/>
      <c r="I19" s="34" t="n"/>
      <c r="J19" s="34" t="n"/>
      <c r="K19" s="34" t="n"/>
    </row>
    <row r="20">
      <c r="B20" s="34" t="n"/>
      <c r="C20" s="34" t="n"/>
      <c r="D20" s="34" t="n"/>
      <c r="E20" s="34" t="n"/>
      <c r="F20" s="34" t="n"/>
      <c r="G20" s="34" t="n"/>
      <c r="H20" s="34" t="n"/>
      <c r="I20" s="34" t="n"/>
      <c r="J20" s="34" t="n"/>
      <c r="K20" s="34" t="n"/>
    </row>
    <row r="23">
      <c r="B23" s="11" t="inlineStr">
        <is>
          <t>TOP CUSTOMERS</t>
        </is>
      </c>
    </row>
    <row r="24">
      <c r="B24" s="11" t="inlineStr">
        <is>
          <t>Top Customers (Top 8 by Net Sales)</t>
        </is>
      </c>
      <c r="G24" s="23">
        <f>CUBESET("ThisWorkbookDataModel","{[DIM_Customer].[Name].Children}","Top Customers (Top 8 by Net Sales)","BDESC","[Measures].[Net Sales]")</f>
        <v/>
      </c>
    </row>
    <row r="25">
      <c r="B25" s="32" t="inlineStr">
        <is>
          <t>Name</t>
        </is>
      </c>
      <c r="C25" s="32" t="inlineStr">
        <is>
          <t>Net Sales</t>
        </is>
      </c>
      <c r="D25" s="32" t="inlineStr">
        <is>
          <t>CLV (Historical)</t>
        </is>
      </c>
    </row>
    <row r="26">
      <c r="B26" s="24">
        <f>CUBERANKEDMEMBER("ThisWorkbookDataModel",$G$24,1)</f>
        <v/>
      </c>
      <c r="C26" s="25">
        <f>CUBEVALUE("ThisWorkbookDataModel","[Measures].[Net Sales]",CUBERANKEDMEMBER("ThisWorkbookDataModel",$G$24,1))</f>
        <v/>
      </c>
      <c r="D26" s="25">
        <f>CUBEVALUE("ThisWorkbookDataModel","[Measures].[Customer Lifetime Value (Historical)]",CUBERANKEDMEMBER("ThisWorkbookDataModel",$G$24,1))</f>
        <v/>
      </c>
    </row>
    <row r="27">
      <c r="B27" s="24">
        <f>CUBERANKEDMEMBER("ThisWorkbookDataModel",$G$24,2)</f>
        <v/>
      </c>
      <c r="C27" s="25">
        <f>CUBEVALUE("ThisWorkbookDataModel","[Measures].[Net Sales]",CUBERANKEDMEMBER("ThisWorkbookDataModel",$G$24,2))</f>
        <v/>
      </c>
      <c r="D27" s="25">
        <f>CUBEVALUE("ThisWorkbookDataModel","[Measures].[Customer Lifetime Value (Historical)]",CUBERANKEDMEMBER("ThisWorkbookDataModel",$G$24,2))</f>
        <v/>
      </c>
    </row>
    <row r="28">
      <c r="B28" s="24">
        <f>CUBERANKEDMEMBER("ThisWorkbookDataModel",$G$24,3)</f>
        <v/>
      </c>
      <c r="C28" s="25">
        <f>CUBEVALUE("ThisWorkbookDataModel","[Measures].[Net Sales]",CUBERANKEDMEMBER("ThisWorkbookDataModel",$G$24,3))</f>
        <v/>
      </c>
      <c r="D28" s="25">
        <f>CUBEVALUE("ThisWorkbookDataModel","[Measures].[Customer Lifetime Value (Historical)]",CUBERANKEDMEMBER("ThisWorkbookDataModel",$G$24,3))</f>
        <v/>
      </c>
    </row>
    <row r="29">
      <c r="B29" s="24">
        <f>CUBERANKEDMEMBER("ThisWorkbookDataModel",$G$24,4)</f>
        <v/>
      </c>
      <c r="C29" s="25">
        <f>CUBEVALUE("ThisWorkbookDataModel","[Measures].[Net Sales]",CUBERANKEDMEMBER("ThisWorkbookDataModel",$G$24,4))</f>
        <v/>
      </c>
      <c r="D29" s="25">
        <f>CUBEVALUE("ThisWorkbookDataModel","[Measures].[Customer Lifetime Value (Historical)]",CUBERANKEDMEMBER("ThisWorkbookDataModel",$G$24,4))</f>
        <v/>
      </c>
    </row>
    <row r="30">
      <c r="B30" s="24">
        <f>CUBERANKEDMEMBER("ThisWorkbookDataModel",$G$24,5)</f>
        <v/>
      </c>
      <c r="C30" s="25">
        <f>CUBEVALUE("ThisWorkbookDataModel","[Measures].[Net Sales]",CUBERANKEDMEMBER("ThisWorkbookDataModel",$G$24,5))</f>
        <v/>
      </c>
      <c r="D30" s="25">
        <f>CUBEVALUE("ThisWorkbookDataModel","[Measures].[Customer Lifetime Value (Historical)]",CUBERANKEDMEMBER("ThisWorkbookDataModel",$G$24,5))</f>
        <v/>
      </c>
    </row>
    <row r="31">
      <c r="B31" s="24">
        <f>CUBERANKEDMEMBER("ThisWorkbookDataModel",$G$24,6)</f>
        <v/>
      </c>
      <c r="C31" s="25">
        <f>CUBEVALUE("ThisWorkbookDataModel","[Measures].[Net Sales]",CUBERANKEDMEMBER("ThisWorkbookDataModel",$G$24,6))</f>
        <v/>
      </c>
      <c r="D31" s="25">
        <f>CUBEVALUE("ThisWorkbookDataModel","[Measures].[Customer Lifetime Value (Historical)]",CUBERANKEDMEMBER("ThisWorkbookDataModel",$G$24,6))</f>
        <v/>
      </c>
    </row>
    <row r="32">
      <c r="B32" s="24">
        <f>CUBERANKEDMEMBER("ThisWorkbookDataModel",$G$24,7)</f>
        <v/>
      </c>
      <c r="C32" s="25">
        <f>CUBEVALUE("ThisWorkbookDataModel","[Measures].[Net Sales]",CUBERANKEDMEMBER("ThisWorkbookDataModel",$G$24,7))</f>
        <v/>
      </c>
      <c r="D32" s="25">
        <f>CUBEVALUE("ThisWorkbookDataModel","[Measures].[Customer Lifetime Value (Historical)]",CUBERANKEDMEMBER("ThisWorkbookDataModel",$G$24,7))</f>
        <v/>
      </c>
    </row>
    <row r="33">
      <c r="B33" s="24">
        <f>CUBERANKEDMEMBER("ThisWorkbookDataModel",$G$24,8)</f>
        <v/>
      </c>
      <c r="C33" s="25">
        <f>CUBEVALUE("ThisWorkbookDataModel","[Measures].[Net Sales]",CUBERANKEDMEMBER("ThisWorkbookDataModel",$G$24,8))</f>
        <v/>
      </c>
      <c r="D33" s="25">
        <f>CUBEVALUE("ThisWorkbookDataModel","[Measures].[Customer Lifetime Value (Historical)]",CUBERANKEDMEMBER("ThisWorkbookDataModel",$G$24,8))</f>
        <v/>
      </c>
    </row>
    <row r="36">
      <c r="B36" s="11" t="inlineStr">
        <is>
          <t>GEOGRAPHY</t>
        </is>
      </c>
    </row>
    <row r="37">
      <c r="B37" s="11" t="inlineStr">
        <is>
          <t>Geography (Net Sales by Country)</t>
        </is>
      </c>
      <c r="F37" s="23">
        <f>CUBESET("ThisWorkbookDataModel","{[DIM_Customer].[Country].Children}","Geography (Net Sales by Country)","BDESC","[Measures].[Net Sales]")</f>
        <v/>
      </c>
    </row>
    <row r="38">
      <c r="B38" s="32" t="inlineStr">
        <is>
          <t>Country</t>
        </is>
      </c>
      <c r="C38" s="32" t="inlineStr">
        <is>
          <t>Net Sales</t>
        </is>
      </c>
    </row>
    <row r="39">
      <c r="B39" s="24">
        <f>CUBERANKEDMEMBER("ThisWorkbookDataModel",$F$37,1)</f>
        <v/>
      </c>
      <c r="C39" s="25">
        <f>CUBEVALUE("ThisWorkbookDataModel","[Measures].[Net Sales]",CUBERANKEDMEMBER("ThisWorkbookDataModel",$F$37,1))</f>
        <v/>
      </c>
    </row>
    <row r="40">
      <c r="B40" s="24">
        <f>CUBERANKEDMEMBER("ThisWorkbookDataModel",$F$37,2)</f>
        <v/>
      </c>
      <c r="C40" s="25">
        <f>CUBEVALUE("ThisWorkbookDataModel","[Measures].[Net Sales]",CUBERANKEDMEMBER("ThisWorkbookDataModel",$F$37,2))</f>
        <v/>
      </c>
    </row>
    <row r="41">
      <c r="B41" s="24">
        <f>CUBERANKEDMEMBER("ThisWorkbookDataModel",$F$37,3)</f>
        <v/>
      </c>
      <c r="C41" s="25">
        <f>CUBEVALUE("ThisWorkbookDataModel","[Measures].[Net Sales]",CUBERANKEDMEMBER("ThisWorkbookDataModel",$F$37,3))</f>
        <v/>
      </c>
    </row>
    <row r="42">
      <c r="B42" s="24">
        <f>CUBERANKEDMEMBER("ThisWorkbookDataModel",$F$37,4)</f>
        <v/>
      </c>
      <c r="C42" s="25">
        <f>CUBEVALUE("ThisWorkbookDataModel","[Measures].[Net Sales]",CUBERANKEDMEMBER("ThisWorkbookDataModel",$F$37,4))</f>
        <v/>
      </c>
    </row>
    <row r="43">
      <c r="B43" s="24">
        <f>CUBERANKEDMEMBER("ThisWorkbookDataModel",$F$37,5)</f>
        <v/>
      </c>
      <c r="C43" s="25">
        <f>CUBEVALUE("ThisWorkbookDataModel","[Measures].[Net Sales]",CUBERANKEDMEMBER("ThisWorkbookDataModel",$F$37,5))</f>
        <v/>
      </c>
    </row>
    <row r="44">
      <c r="B44" s="24">
        <f>CUBERANKEDMEMBER("ThisWorkbookDataModel",$F$37,6)</f>
        <v/>
      </c>
      <c r="C44" s="25">
        <f>CUBEVALUE("ThisWorkbookDataModel","[Measures].[Net Sales]",CUBERANKEDMEMBER("ThisWorkbookDataModel",$F$37,6))</f>
        <v/>
      </c>
    </row>
    <row r="45">
      <c r="B45" s="24">
        <f>CUBERANKEDMEMBER("ThisWorkbookDataModel",$F$37,7)</f>
        <v/>
      </c>
      <c r="C45" s="25">
        <f>CUBEVALUE("ThisWorkbookDataModel","[Measures].[Net Sales]",CUBERANKEDMEMBER("ThisWorkbookDataModel",$F$37,7))</f>
        <v/>
      </c>
    </row>
    <row r="46">
      <c r="B46" s="24">
        <f>CUBERANKEDMEMBER("ThisWorkbookDataModel",$F$37,8)</f>
        <v/>
      </c>
      <c r="C46" s="25">
        <f>CUBEVALUE("ThisWorkbookDataModel","[Measures].[Net Sales]",CUBERANKEDMEMBER("ThisWorkbookDataModel",$F$37,8))</f>
        <v/>
      </c>
    </row>
    <row r="47">
      <c r="B47" s="24">
        <f>CUBERANKEDMEMBER("ThisWorkbookDataModel",$F$37,9)</f>
        <v/>
      </c>
      <c r="C47" s="25">
        <f>CUBEVALUE("ThisWorkbookDataModel","[Measures].[Net Sales]",CUBERANKEDMEMBER("ThisWorkbookDataModel",$F$37,9))</f>
        <v/>
      </c>
    </row>
    <row r="48">
      <c r="B48" s="24">
        <f>CUBERANKEDMEMBER("ThisWorkbookDataModel",$F$37,10)</f>
        <v/>
      </c>
      <c r="C48" s="25">
        <f>CUBEVALUE("ThisWorkbookDataModel","[Measures].[Net Sales]",CUBERANKEDMEMBER("ThisWorkbookDataModel",$F$37,10))</f>
        <v/>
      </c>
    </row>
    <row r="51">
      <c r="B51" s="37" t="inlineStr">
        <is>
          <t>KNOWN GAPS ON THIS SHEET  (documented, not silently missing)</t>
        </is>
      </c>
    </row>
    <row r="52" ht="24" customHeight="1">
      <c r="B52" s="5" t="inlineStr">
        <is>
          <t>Total Customers: No DAX measure counts the full customer roster — dax/MEASURES.md defines [Customers Active (Current Period)] (period-filtered) and [New Customers] (first-order-in-period), but no all-time DISTINCTCOUNT(DIM_Customer[CustomerKey]) measure exists. Mapping this card to either existing measure would misrepresent what it actually counts, so it's left undocumented rather than mislabeled.</t>
        </is>
      </c>
    </row>
  </sheetData>
  <sheetProtection selectLockedCells="0" selectUnlockedCells="0" sheet="1" objects="0" insertRows="0" insertHyperlinks="1" autoFilter="1" scenarios="0" formatColumns="0" deleteColumns="0" insertColumns="0" pivotTables="0" deleteRows="0" formatCells="0" formatRows="0" sort="1" password="C24F"/>
  <mergeCells count="18">
    <mergeCell ref="B4:L4"/>
    <mergeCell ref="A2:L2"/>
    <mergeCell ref="B12:C13"/>
    <mergeCell ref="F11:G11"/>
    <mergeCell ref="H11:I11"/>
    <mergeCell ref="H12:I13"/>
    <mergeCell ref="B6:L6"/>
    <mergeCell ref="B11:C11"/>
    <mergeCell ref="F12:G13"/>
    <mergeCell ref="B52:L52"/>
    <mergeCell ref="D11:E11"/>
    <mergeCell ref="B7:L7"/>
    <mergeCell ref="A1:L1"/>
    <mergeCell ref="D12:E13"/>
    <mergeCell ref="B5:L5"/>
    <mergeCell ref="B17:K20"/>
    <mergeCell ref="A3:L3"/>
    <mergeCell ref="B8:L8"/>
  </mergeCells>
  <hyperlinks>
    <hyperlink xmlns:r="http://schemas.openxmlformats.org/officeDocument/2006/relationships" ref="A2" r:id="rId1"/>
  </hyperlinks>
  <pageMargins left="0.75" right="0.75" top="1" bottom="1" header="0.5" footer="0.5"/>
</worksheet>
</file>

<file path=xl/worksheets/sheet7.xml><?xml version="1.0" encoding="utf-8"?>
<worksheet xmlns="http://schemas.openxmlformats.org/spreadsheetml/2006/main">
  <sheetPr>
    <tabColor rgb="00404040"/>
    <outlinePr applyStyles="1" summaryBelow="0" summaryRight="1"/>
    <pageSetUpPr/>
  </sheetPr>
  <dimension ref="A1:N82"/>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Inventory</t>
        </is>
      </c>
    </row>
    <row r="2" ht="16" customHeight="1">
      <c r="A2" s="17" t="inlineStr">
        <is>
          <t>PASSRESS MIS   |   Home ▸ Inventory</t>
        </is>
      </c>
    </row>
    <row r="3" ht="14" customHeight="1">
      <c r="A3" s="3" t="inlineStr">
        <is>
          <t>Sheet Documentation  (use the  +  outline control at left to expand)</t>
        </is>
      </c>
    </row>
    <row r="4" hidden="1" outlineLevel="1" ht="13" customHeight="1">
      <c r="A4" s="4" t="inlineStr">
        <is>
          <t>Purpose</t>
        </is>
      </c>
      <c r="B4" s="5" t="inlineStr">
        <is>
          <t>Stock levels, valuation, and turnover.</t>
        </is>
      </c>
    </row>
    <row r="5" hidden="1" outlineLevel="1" ht="13" customHeight="1">
      <c r="A5" s="4" t="inlineStr">
        <is>
          <t>Input tables</t>
        </is>
      </c>
      <c r="B5" s="5" t="inlineStr">
        <is>
          <t>FACT_InventoryMovements, DIM_Product, DIM_Location.</t>
        </is>
      </c>
    </row>
    <row r="6" hidden="1" outlineLevel="1" ht="13" customHeight="1">
      <c r="A6" s="4" t="inlineStr">
        <is>
          <t>Output tables</t>
        </is>
      </c>
      <c r="B6" s="5" t="inlineStr">
        <is>
          <t>Inventory KPI row, Stock Trend chart, Stock by Location / Low Stock / Inventory Valuation breakdown tables (CUBE-function substitutes for a PivotTable).</t>
        </is>
      </c>
    </row>
    <row r="7" hidden="1" outlineLevel="1" ht="13" customHeight="1">
      <c r="A7" s="4" t="inlineStr">
        <is>
          <t>Relationships</t>
        </is>
      </c>
      <c r="B7" s="5" t="inlineStr">
        <is>
          <t>FACT_InventoryMovements links to DIM_Product and DIM_Location.</t>
        </is>
      </c>
    </row>
    <row r="8" hidden="1" outlineLevel="1" ht="13" customHeight="1">
      <c r="A8" s="4" t="inlineStr">
        <is>
          <t>Future data source</t>
        </is>
      </c>
      <c r="B8" s="5" t="inlineStr">
        <is>
          <t>Live now: reads dax/MEASURES.md's Inventory Metrics measures (§6) directly.</t>
        </is>
      </c>
    </row>
    <row r="9" hidden="1" outlineLevel="1"/>
    <row r="10" ht="6" customHeight="1"/>
    <row r="11" ht="15" customHeight="1">
      <c r="B11" s="6" t="inlineStr">
        <is>
          <t>INVENTORY VALUE</t>
        </is>
      </c>
      <c r="C11" s="7" t="n"/>
      <c r="D11" s="6" t="inlineStr">
        <is>
          <t>UNITS ON HAND</t>
        </is>
      </c>
      <c r="E11" s="7" t="n"/>
      <c r="F11" s="6" t="inlineStr">
        <is>
          <t>INVENTORY TURNS</t>
        </is>
      </c>
      <c r="G11" s="7" t="n"/>
      <c r="H11" s="6" t="inlineStr">
        <is>
          <t>STOCKOUT RISK</t>
        </is>
      </c>
      <c r="I11" s="7" t="n"/>
    </row>
    <row r="12" ht="22" customHeight="1">
      <c r="B12" s="18">
        <f>CUBEVALUE("ThisWorkbookDataModel","[Measures].[Inventory Value]")</f>
        <v/>
      </c>
      <c r="C12" s="7" t="n"/>
      <c r="D12" s="9" t="inlineStr">
        <is>
          <t>N/A</t>
        </is>
      </c>
      <c r="E12" s="7" t="n"/>
      <c r="F12" s="27">
        <f>CUBEVALUE("ThisWorkbookDataModel","[Measures].[Inventory Turnover]")</f>
        <v/>
      </c>
      <c r="G12" s="7" t="n"/>
      <c r="H12" s="9" t="inlineStr">
        <is>
          <t>N/A</t>
        </is>
      </c>
      <c r="I12" s="7" t="n"/>
    </row>
    <row r="13" ht="22" customHeight="1">
      <c r="B13" s="7" t="n"/>
      <c r="C13" s="7" t="n"/>
      <c r="D13" s="7" t="n"/>
      <c r="E13" s="7" t="n"/>
      <c r="F13" s="7" t="n"/>
      <c r="G13" s="7" t="n"/>
      <c r="H13" s="7" t="n"/>
      <c r="I13" s="7" t="n"/>
    </row>
    <row r="16">
      <c r="B16" s="11" t="inlineStr">
        <is>
          <t>STOCK TREND</t>
        </is>
      </c>
    </row>
    <row r="17" ht="24" customHeight="1">
      <c r="B17" s="20" t="inlineStr">
        <is>
          <t>Uses [Average Inventory Value], not [Inventory Value]: dax/MEASURES.md §6 documents that [Inventory Value] always returns the MOST RECENT snapshot regardless of any date filter — charting it by month would repeat the same 'today' figure 12 times, not show a real trend. [Average Inventory Value] is the measure specifically documented as date-filter-aware, so it's the one that actually plots a trend.</t>
        </is>
      </c>
    </row>
    <row r="18">
      <c r="B18" s="13" t="inlineStr">
        <is>
          <t>Average Inventory Value — trailing 12 months</t>
        </is>
      </c>
    </row>
    <row r="19">
      <c r="C19" s="21">
        <f>TEXT(EDATE(TODAY(),-11),"mmm-yy")</f>
        <v/>
      </c>
      <c r="D19" s="21">
        <f>TEXT(EDATE(TODAY(),-10),"mmm-yy")</f>
        <v/>
      </c>
      <c r="E19" s="21">
        <f>TEXT(EDATE(TODAY(),-9),"mmm-yy")</f>
        <v/>
      </c>
      <c r="F19" s="21">
        <f>TEXT(EDATE(TODAY(),-8),"mmm-yy")</f>
        <v/>
      </c>
      <c r="G19" s="21">
        <f>TEXT(EDATE(TODAY(),-7),"mmm-yy")</f>
        <v/>
      </c>
      <c r="H19" s="21">
        <f>TEXT(EDATE(TODAY(),-6),"mmm-yy")</f>
        <v/>
      </c>
      <c r="I19" s="21">
        <f>TEXT(EDATE(TODAY(),-5),"mmm-yy")</f>
        <v/>
      </c>
      <c r="J19" s="21">
        <f>TEXT(EDATE(TODAY(),-4),"mmm-yy")</f>
        <v/>
      </c>
      <c r="K19" s="21">
        <f>TEXT(EDATE(TODAY(),-3),"mmm-yy")</f>
        <v/>
      </c>
      <c r="L19" s="21">
        <f>TEXT(EDATE(TODAY(),-2),"mmm-yy")</f>
        <v/>
      </c>
      <c r="M19" s="21">
        <f>TEXT(EDATE(TODAY(),-1),"mmm-yy")</f>
        <v/>
      </c>
      <c r="N19" s="21">
        <f>TEXT(EDATE(TODAY(),0),"mmm-yy")</f>
        <v/>
      </c>
    </row>
    <row r="20">
      <c r="C20" s="22">
        <f>CUBEVALUE("ThisWorkbookDataModel","[Measures].[Average Inventory Value]","[DIM_Date].[Year].&amp;["&amp;YEAR(EDATE(TODAY(),-11))&amp;"]","[DIM_Date].[Month].&amp;["&amp;MONTH(EDATE(TODAY(),-11))&amp;"]")</f>
        <v/>
      </c>
      <c r="D20" s="22">
        <f>CUBEVALUE("ThisWorkbookDataModel","[Measures].[Average Inventory Value]","[DIM_Date].[Year].&amp;["&amp;YEAR(EDATE(TODAY(),-10))&amp;"]","[DIM_Date].[Month].&amp;["&amp;MONTH(EDATE(TODAY(),-10))&amp;"]")</f>
        <v/>
      </c>
      <c r="E20" s="22">
        <f>CUBEVALUE("ThisWorkbookDataModel","[Measures].[Average Inventory Value]","[DIM_Date].[Year].&amp;["&amp;YEAR(EDATE(TODAY(),-9))&amp;"]","[DIM_Date].[Month].&amp;["&amp;MONTH(EDATE(TODAY(),-9))&amp;"]")</f>
        <v/>
      </c>
      <c r="F20" s="22">
        <f>CUBEVALUE("ThisWorkbookDataModel","[Measures].[Average Inventory Value]","[DIM_Date].[Year].&amp;["&amp;YEAR(EDATE(TODAY(),-8))&amp;"]","[DIM_Date].[Month].&amp;["&amp;MONTH(EDATE(TODAY(),-8))&amp;"]")</f>
        <v/>
      </c>
      <c r="G20" s="22">
        <f>CUBEVALUE("ThisWorkbookDataModel","[Measures].[Average Inventory Value]","[DIM_Date].[Year].&amp;["&amp;YEAR(EDATE(TODAY(),-7))&amp;"]","[DIM_Date].[Month].&amp;["&amp;MONTH(EDATE(TODAY(),-7))&amp;"]")</f>
        <v/>
      </c>
      <c r="H20" s="22">
        <f>CUBEVALUE("ThisWorkbookDataModel","[Measures].[Average Inventory Value]","[DIM_Date].[Year].&amp;["&amp;YEAR(EDATE(TODAY(),-6))&amp;"]","[DIM_Date].[Month].&amp;["&amp;MONTH(EDATE(TODAY(),-6))&amp;"]")</f>
        <v/>
      </c>
      <c r="I20" s="22">
        <f>CUBEVALUE("ThisWorkbookDataModel","[Measures].[Average Inventory Value]","[DIM_Date].[Year].&amp;["&amp;YEAR(EDATE(TODAY(),-5))&amp;"]","[DIM_Date].[Month].&amp;["&amp;MONTH(EDATE(TODAY(),-5))&amp;"]")</f>
        <v/>
      </c>
      <c r="J20" s="22">
        <f>CUBEVALUE("ThisWorkbookDataModel","[Measures].[Average Inventory Value]","[DIM_Date].[Year].&amp;["&amp;YEAR(EDATE(TODAY(),-4))&amp;"]","[DIM_Date].[Month].&amp;["&amp;MONTH(EDATE(TODAY(),-4))&amp;"]")</f>
        <v/>
      </c>
      <c r="K20" s="22">
        <f>CUBEVALUE("ThisWorkbookDataModel","[Measures].[Average Inventory Value]","[DIM_Date].[Year].&amp;["&amp;YEAR(EDATE(TODAY(),-3))&amp;"]","[DIM_Date].[Month].&amp;["&amp;MONTH(EDATE(TODAY(),-3))&amp;"]")</f>
        <v/>
      </c>
      <c r="L20" s="22">
        <f>CUBEVALUE("ThisWorkbookDataModel","[Measures].[Average Inventory Value]","[DIM_Date].[Year].&amp;["&amp;YEAR(EDATE(TODAY(),-2))&amp;"]","[DIM_Date].[Month].&amp;["&amp;MONTH(EDATE(TODAY(),-2))&amp;"]")</f>
        <v/>
      </c>
      <c r="M20" s="22">
        <f>CUBEVALUE("ThisWorkbookDataModel","[Measures].[Average Inventory Value]","[DIM_Date].[Year].&amp;["&amp;YEAR(EDATE(TODAY(),-1))&amp;"]","[DIM_Date].[Month].&amp;["&amp;MONTH(EDATE(TODAY(),-1))&amp;"]")</f>
        <v/>
      </c>
      <c r="N20" s="22">
        <f>CUBEVALUE("ThisWorkbookDataModel","[Measures].[Average Inventory Value]","[DIM_Date].[Year].&amp;["&amp;YEAR(EDATE(TODAY(),0))&amp;"]","[DIM_Date].[Month].&amp;["&amp;MONTH(EDATE(TODAY(),0))&amp;"]")</f>
        <v/>
      </c>
    </row>
    <row r="38">
      <c r="B38" s="11" t="inlineStr">
        <is>
          <t>STOCK BY LOCATION</t>
        </is>
      </c>
    </row>
    <row r="39">
      <c r="B39" s="11" t="inlineStr">
        <is>
          <t>Stock by Location (Inventory Value)</t>
        </is>
      </c>
      <c r="F39" s="23">
        <f>CUBESET("ThisWorkbookDataModel","{[DIM_Location].[LocationName].Children}","Stock by Location (Inventory Value)","BDESC","[Measures].[Inventory Value]")</f>
        <v/>
      </c>
    </row>
    <row r="40">
      <c r="B40" s="32" t="inlineStr">
        <is>
          <t>LocationName</t>
        </is>
      </c>
      <c r="C40" s="32" t="inlineStr">
        <is>
          <t>Inventory Value</t>
        </is>
      </c>
    </row>
    <row r="41">
      <c r="B41" s="24">
        <f>CUBERANKEDMEMBER("ThisWorkbookDataModel",$F$39,1)</f>
        <v/>
      </c>
      <c r="C41" s="25">
        <f>CUBEVALUE("ThisWorkbookDataModel","[Measures].[Inventory Value]",CUBERANKEDMEMBER("ThisWorkbookDataModel",$F$39,1))</f>
        <v/>
      </c>
    </row>
    <row r="42">
      <c r="B42" s="24">
        <f>CUBERANKEDMEMBER("ThisWorkbookDataModel",$F$39,2)</f>
        <v/>
      </c>
      <c r="C42" s="25">
        <f>CUBEVALUE("ThisWorkbookDataModel","[Measures].[Inventory Value]",CUBERANKEDMEMBER("ThisWorkbookDataModel",$F$39,2))</f>
        <v/>
      </c>
    </row>
    <row r="43">
      <c r="B43" s="24">
        <f>CUBERANKEDMEMBER("ThisWorkbookDataModel",$F$39,3)</f>
        <v/>
      </c>
      <c r="C43" s="25">
        <f>CUBEVALUE("ThisWorkbookDataModel","[Measures].[Inventory Value]",CUBERANKEDMEMBER("ThisWorkbookDataModel",$F$39,3))</f>
        <v/>
      </c>
    </row>
    <row r="44">
      <c r="B44" s="24">
        <f>CUBERANKEDMEMBER("ThisWorkbookDataModel",$F$39,4)</f>
        <v/>
      </c>
      <c r="C44" s="25">
        <f>CUBEVALUE("ThisWorkbookDataModel","[Measures].[Inventory Value]",CUBERANKEDMEMBER("ThisWorkbookDataModel",$F$39,4))</f>
        <v/>
      </c>
    </row>
    <row r="45">
      <c r="B45" s="24">
        <f>CUBERANKEDMEMBER("ThisWorkbookDataModel",$F$39,5)</f>
        <v/>
      </c>
      <c r="C45" s="25">
        <f>CUBEVALUE("ThisWorkbookDataModel","[Measures].[Inventory Value]",CUBERANKEDMEMBER("ThisWorkbookDataModel",$F$39,5))</f>
        <v/>
      </c>
    </row>
    <row r="46">
      <c r="B46" s="24">
        <f>CUBERANKEDMEMBER("ThisWorkbookDataModel",$F$39,6)</f>
        <v/>
      </c>
      <c r="C46" s="25">
        <f>CUBEVALUE("ThisWorkbookDataModel","[Measures].[Inventory Value]",CUBERANKEDMEMBER("ThisWorkbookDataModel",$F$39,6))</f>
        <v/>
      </c>
    </row>
    <row r="47">
      <c r="B47" s="24">
        <f>CUBERANKEDMEMBER("ThisWorkbookDataModel",$F$39,7)</f>
        <v/>
      </c>
      <c r="C47" s="25">
        <f>CUBEVALUE("ThisWorkbookDataModel","[Measures].[Inventory Value]",CUBERANKEDMEMBER("ThisWorkbookDataModel",$F$39,7))</f>
        <v/>
      </c>
    </row>
    <row r="48">
      <c r="B48" s="24">
        <f>CUBERANKEDMEMBER("ThisWorkbookDataModel",$F$39,8)</f>
        <v/>
      </c>
      <c r="C48" s="25">
        <f>CUBEVALUE("ThisWorkbookDataModel","[Measures].[Inventory Value]",CUBERANKEDMEMBER("ThisWorkbookDataModel",$F$39,8))</f>
        <v/>
      </c>
    </row>
    <row r="49">
      <c r="B49" s="24">
        <f>CUBERANKEDMEMBER("ThisWorkbookDataModel",$F$39,9)</f>
        <v/>
      </c>
      <c r="C49" s="25">
        <f>CUBEVALUE("ThisWorkbookDataModel","[Measures].[Inventory Value]",CUBERANKEDMEMBER("ThisWorkbookDataModel",$F$39,9))</f>
        <v/>
      </c>
    </row>
    <row r="50">
      <c r="B50" s="24">
        <f>CUBERANKEDMEMBER("ThisWorkbookDataModel",$F$39,10)</f>
        <v/>
      </c>
      <c r="C50" s="25">
        <f>CUBEVALUE("ThisWorkbookDataModel","[Measures].[Inventory Value]",CUBERANKEDMEMBER("ThisWorkbookDataModel",$F$39,10))</f>
        <v/>
      </c>
    </row>
    <row r="53">
      <c r="B53" s="11" t="inlineStr">
        <is>
          <t>LOW STOCK LIST</t>
        </is>
      </c>
    </row>
    <row r="54" ht="24" customHeight="1">
      <c r="B54" s="20" t="inlineStr">
        <is>
          <t>Ranked by Inventory Value, ascending — a unit-count 'low stock' measure doesn't exist (see Units on Hand, above); Inventory Value ascending is the closest existing-measure proxy for 'what's running low.'</t>
        </is>
      </c>
    </row>
    <row r="55">
      <c r="B55" s="11" t="inlineStr">
        <is>
          <t>Low Stock List (Bottom 8 by Inventory Value)</t>
        </is>
      </c>
      <c r="F55" s="23">
        <f>CUBESET("ThisWorkbookDataModel","{[DIM_Product].[Title].Children}","Low Stock List (Bottom 8 by Inventory Value)","BASC","[Measures].[Inventory Value]")</f>
        <v/>
      </c>
    </row>
    <row r="56">
      <c r="B56" s="32" t="inlineStr">
        <is>
          <t>Title</t>
        </is>
      </c>
      <c r="C56" s="32" t="inlineStr">
        <is>
          <t>Inventory Value</t>
        </is>
      </c>
    </row>
    <row r="57">
      <c r="B57" s="24">
        <f>CUBERANKEDMEMBER("ThisWorkbookDataModel",$F$55,1)</f>
        <v/>
      </c>
      <c r="C57" s="25">
        <f>CUBEVALUE("ThisWorkbookDataModel","[Measures].[Inventory Value]",CUBERANKEDMEMBER("ThisWorkbookDataModel",$F$55,1))</f>
        <v/>
      </c>
    </row>
    <row r="58">
      <c r="B58" s="24">
        <f>CUBERANKEDMEMBER("ThisWorkbookDataModel",$F$55,2)</f>
        <v/>
      </c>
      <c r="C58" s="25">
        <f>CUBEVALUE("ThisWorkbookDataModel","[Measures].[Inventory Value]",CUBERANKEDMEMBER("ThisWorkbookDataModel",$F$55,2))</f>
        <v/>
      </c>
    </row>
    <row r="59">
      <c r="B59" s="24">
        <f>CUBERANKEDMEMBER("ThisWorkbookDataModel",$F$55,3)</f>
        <v/>
      </c>
      <c r="C59" s="25">
        <f>CUBEVALUE("ThisWorkbookDataModel","[Measures].[Inventory Value]",CUBERANKEDMEMBER("ThisWorkbookDataModel",$F$55,3))</f>
        <v/>
      </c>
    </row>
    <row r="60">
      <c r="B60" s="24">
        <f>CUBERANKEDMEMBER("ThisWorkbookDataModel",$F$55,4)</f>
        <v/>
      </c>
      <c r="C60" s="25">
        <f>CUBEVALUE("ThisWorkbookDataModel","[Measures].[Inventory Value]",CUBERANKEDMEMBER("ThisWorkbookDataModel",$F$55,4))</f>
        <v/>
      </c>
    </row>
    <row r="61">
      <c r="B61" s="24">
        <f>CUBERANKEDMEMBER("ThisWorkbookDataModel",$F$55,5)</f>
        <v/>
      </c>
      <c r="C61" s="25">
        <f>CUBEVALUE("ThisWorkbookDataModel","[Measures].[Inventory Value]",CUBERANKEDMEMBER("ThisWorkbookDataModel",$F$55,5))</f>
        <v/>
      </c>
    </row>
    <row r="62">
      <c r="B62" s="24">
        <f>CUBERANKEDMEMBER("ThisWorkbookDataModel",$F$55,6)</f>
        <v/>
      </c>
      <c r="C62" s="25">
        <f>CUBEVALUE("ThisWorkbookDataModel","[Measures].[Inventory Value]",CUBERANKEDMEMBER("ThisWorkbookDataModel",$F$55,6))</f>
        <v/>
      </c>
    </row>
    <row r="63">
      <c r="B63" s="24">
        <f>CUBERANKEDMEMBER("ThisWorkbookDataModel",$F$55,7)</f>
        <v/>
      </c>
      <c r="C63" s="25">
        <f>CUBEVALUE("ThisWorkbookDataModel","[Measures].[Inventory Value]",CUBERANKEDMEMBER("ThisWorkbookDataModel",$F$55,7))</f>
        <v/>
      </c>
    </row>
    <row r="64">
      <c r="B64" s="24">
        <f>CUBERANKEDMEMBER("ThisWorkbookDataModel",$F$55,8)</f>
        <v/>
      </c>
      <c r="C64" s="25">
        <f>CUBEVALUE("ThisWorkbookDataModel","[Measures].[Inventory Value]",CUBERANKEDMEMBER("ThisWorkbookDataModel",$F$55,8))</f>
        <v/>
      </c>
    </row>
    <row r="67">
      <c r="B67" s="11" t="inlineStr">
        <is>
          <t>INVENTORY VALUATION</t>
        </is>
      </c>
    </row>
    <row r="68">
      <c r="B68" s="11" t="inlineStr">
        <is>
          <t>Inventory Valuation (Top 8 Products by Inventory Value)</t>
        </is>
      </c>
      <c r="F68" s="23">
        <f>CUBESET("ThisWorkbookDataModel","{[DIM_Product].[Title].Children}","Inventory Valuation (Top 8 Products by Inventory Value)","BDESC","[Measures].[Inventory Value]")</f>
        <v/>
      </c>
    </row>
    <row r="69">
      <c r="B69" s="32" t="inlineStr">
        <is>
          <t>Title</t>
        </is>
      </c>
      <c r="C69" s="32" t="inlineStr">
        <is>
          <t>Inventory Value</t>
        </is>
      </c>
    </row>
    <row r="70">
      <c r="B70" s="24">
        <f>CUBERANKEDMEMBER("ThisWorkbookDataModel",$F$68,1)</f>
        <v/>
      </c>
      <c r="C70" s="25">
        <f>CUBEVALUE("ThisWorkbookDataModel","[Measures].[Inventory Value]",CUBERANKEDMEMBER("ThisWorkbookDataModel",$F$68,1))</f>
        <v/>
      </c>
    </row>
    <row r="71">
      <c r="B71" s="24">
        <f>CUBERANKEDMEMBER("ThisWorkbookDataModel",$F$68,2)</f>
        <v/>
      </c>
      <c r="C71" s="25">
        <f>CUBEVALUE("ThisWorkbookDataModel","[Measures].[Inventory Value]",CUBERANKEDMEMBER("ThisWorkbookDataModel",$F$68,2))</f>
        <v/>
      </c>
    </row>
    <row r="72">
      <c r="B72" s="24">
        <f>CUBERANKEDMEMBER("ThisWorkbookDataModel",$F$68,3)</f>
        <v/>
      </c>
      <c r="C72" s="25">
        <f>CUBEVALUE("ThisWorkbookDataModel","[Measures].[Inventory Value]",CUBERANKEDMEMBER("ThisWorkbookDataModel",$F$68,3))</f>
        <v/>
      </c>
    </row>
    <row r="73">
      <c r="B73" s="24">
        <f>CUBERANKEDMEMBER("ThisWorkbookDataModel",$F$68,4)</f>
        <v/>
      </c>
      <c r="C73" s="25">
        <f>CUBEVALUE("ThisWorkbookDataModel","[Measures].[Inventory Value]",CUBERANKEDMEMBER("ThisWorkbookDataModel",$F$68,4))</f>
        <v/>
      </c>
    </row>
    <row r="74">
      <c r="B74" s="24">
        <f>CUBERANKEDMEMBER("ThisWorkbookDataModel",$F$68,5)</f>
        <v/>
      </c>
      <c r="C74" s="25">
        <f>CUBEVALUE("ThisWorkbookDataModel","[Measures].[Inventory Value]",CUBERANKEDMEMBER("ThisWorkbookDataModel",$F$68,5))</f>
        <v/>
      </c>
    </row>
    <row r="75">
      <c r="B75" s="24">
        <f>CUBERANKEDMEMBER("ThisWorkbookDataModel",$F$68,6)</f>
        <v/>
      </c>
      <c r="C75" s="25">
        <f>CUBEVALUE("ThisWorkbookDataModel","[Measures].[Inventory Value]",CUBERANKEDMEMBER("ThisWorkbookDataModel",$F$68,6))</f>
        <v/>
      </c>
    </row>
    <row r="76">
      <c r="B76" s="24">
        <f>CUBERANKEDMEMBER("ThisWorkbookDataModel",$F$68,7)</f>
        <v/>
      </c>
      <c r="C76" s="25">
        <f>CUBEVALUE("ThisWorkbookDataModel","[Measures].[Inventory Value]",CUBERANKEDMEMBER("ThisWorkbookDataModel",$F$68,7))</f>
        <v/>
      </c>
    </row>
    <row r="77">
      <c r="B77" s="24">
        <f>CUBERANKEDMEMBER("ThisWorkbookDataModel",$F$68,8)</f>
        <v/>
      </c>
      <c r="C77" s="25">
        <f>CUBEVALUE("ThisWorkbookDataModel","[Measures].[Inventory Value]",CUBERANKEDMEMBER("ThisWorkbookDataModel",$F$68,8))</f>
        <v/>
      </c>
    </row>
    <row r="80">
      <c r="B80" s="37" t="inlineStr">
        <is>
          <t>KNOWN GAPS ON THIS SHEET  (documented, not silently missing)</t>
        </is>
      </c>
    </row>
    <row r="81" ht="24" customHeight="1">
      <c r="B81" s="5" t="inlineStr">
        <is>
          <t>Units on Hand: No DAX measure sums on-hand units across products — dax/MEASURES.md's Inventory Metrics (§6) are all VALUE-based ([Inventory Value], [Average Inventory Value]) or RATIO-based (Turnover, Days of Inventory, Stock Coverage), never a plain unit-count aggregate of FACT_InventoryMovements[ResultingOnHand]. Adding one would be a new measure outside this phase's reuse-only scope.</t>
        </is>
      </c>
    </row>
    <row r="82" ht="24" customHeight="1">
      <c r="B82" s="5" t="inlineStr">
        <is>
          <t>Stockout Risk: No DAX measure or defined threshold exists for stockout risk — dax/MEASURES.md defines Slow Moving / Dead Stock SKU Count (low or zero sales while holding stock) but nothing for the opposite risk (high sales velocity vs. low remaining stock). Building one would require inventing a new business rule (a velocity-vs-stock threshold), which this phase's 'no new KPIs' scope rules out.</t>
        </is>
      </c>
    </row>
  </sheetData>
  <sheetProtection selectLockedCells="0" selectUnlockedCells="0" sheet="1" objects="0" insertRows="0" insertHyperlinks="1" autoFilter="1" scenarios="0" formatColumns="0" deleteColumns="0" insertColumns="0" pivotTables="0" deleteRows="0" formatCells="0" formatRows="0" sort="1" password="C24F"/>
  <mergeCells count="18">
    <mergeCell ref="B4:L4"/>
    <mergeCell ref="A2:L2"/>
    <mergeCell ref="B12:C13"/>
    <mergeCell ref="F11:G11"/>
    <mergeCell ref="H11:I11"/>
    <mergeCell ref="H12:I13"/>
    <mergeCell ref="B6:L6"/>
    <mergeCell ref="B11:C11"/>
    <mergeCell ref="F12:G13"/>
    <mergeCell ref="B82:L82"/>
    <mergeCell ref="D11:E11"/>
    <mergeCell ref="B7:L7"/>
    <mergeCell ref="A1:L1"/>
    <mergeCell ref="D12:E13"/>
    <mergeCell ref="B5:L5"/>
    <mergeCell ref="B81:L81"/>
    <mergeCell ref="A3:L3"/>
    <mergeCell ref="B8:L8"/>
  </mergeCells>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8.xml><?xml version="1.0" encoding="utf-8"?>
<worksheet xmlns="http://schemas.openxmlformats.org/spreadsheetml/2006/main">
  <sheetPr>
    <tabColor rgb="00404040"/>
    <outlinePr applyStyles="1" summaryBelow="0" summaryRight="1"/>
    <pageSetUpPr/>
  </sheetPr>
  <dimension ref="A1:N69"/>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Finance</t>
        </is>
      </c>
    </row>
    <row r="2" ht="16" customHeight="1">
      <c r="A2" s="17" t="inlineStr">
        <is>
          <t>PASSRESS MIS   |   Home ▸ Finance</t>
        </is>
      </c>
    </row>
    <row r="3" ht="14" customHeight="1">
      <c r="A3" s="3" t="inlineStr">
        <is>
          <t>Sheet Documentation  (use the  +  outline control at left to expand)</t>
        </is>
      </c>
    </row>
    <row r="4" hidden="1" outlineLevel="1" ht="13" customHeight="1">
      <c r="A4" s="4" t="inlineStr">
        <is>
          <t>Purpose</t>
        </is>
      </c>
      <c r="B4" s="5" t="inlineStr">
        <is>
          <t>Core management-basis financial statements — Profit &amp; Loss and Cash Flow summary (not audited books).</t>
        </is>
      </c>
    </row>
    <row r="5" hidden="1" outlineLevel="1" ht="13" customHeight="1">
      <c r="A5" s="4" t="inlineStr">
        <is>
          <t>Input tables</t>
        </is>
      </c>
      <c r="B5" s="5" t="inlineStr">
        <is>
          <t>FACT_OrderLines, FACT_ManualExpenses, FACT_Payments, Chart of Accounts mapping (15_Settings).</t>
        </is>
      </c>
    </row>
    <row r="6" hidden="1" outlineLevel="1" ht="13" customHeight="1">
      <c r="A6" s="4" t="inlineStr">
        <is>
          <t>Output tables</t>
        </is>
      </c>
      <c r="B6" s="5" t="inlineStr">
        <is>
          <t>Finance KPI row, P&amp;L Trend chart, P&amp;L Statement and Cash Flow Statement (CUBE-function substitutes for a PivotTable, transcribing dax/MEASURES.md §1/§3's own documented measure maps into working formulas).</t>
        </is>
      </c>
    </row>
    <row r="7" hidden="1" outlineLevel="1" ht="13" customHeight="1">
      <c r="A7" s="4" t="inlineStr">
        <is>
          <t>Relationships</t>
        </is>
      </c>
      <c r="B7" s="5" t="inlineStr">
        <is>
          <t>Combines Shopify-sourced facts with manually entered FACT_ManualExpenses, categorized via the Chart of Accounts mapping table.</t>
        </is>
      </c>
    </row>
    <row r="8" hidden="1" outlineLevel="1" ht="13" customHeight="1">
      <c r="A8" s="4" t="inlineStr">
        <is>
          <t>Future data source</t>
        </is>
      </c>
      <c r="B8" s="5" t="inlineStr">
        <is>
          <t>Live now: every line reads an existing dax/MEASURES.md measure directly.</t>
        </is>
      </c>
    </row>
    <row r="9" hidden="1" outlineLevel="1"/>
    <row r="10" ht="6" customHeight="1"/>
    <row r="11" ht="15" customHeight="1">
      <c r="B11" s="6" t="inlineStr">
        <is>
          <t>NET SALES</t>
        </is>
      </c>
      <c r="C11" s="7" t="n"/>
      <c r="D11" s="6" t="inlineStr">
        <is>
          <t>TOTAL EXPENSES</t>
        </is>
      </c>
      <c r="E11" s="7" t="n"/>
      <c r="F11" s="6" t="inlineStr">
        <is>
          <t>NET PROFIT</t>
        </is>
      </c>
      <c r="G11" s="7" t="n"/>
      <c r="H11" s="6" t="inlineStr">
        <is>
          <t>CASH BALANCE</t>
        </is>
      </c>
      <c r="I11" s="7" t="n"/>
    </row>
    <row r="12" ht="22" customHeight="1">
      <c r="B12" s="18">
        <f>CUBEVALUE("ThisWorkbookDataModel","[Measures].[Net Sales]")</f>
        <v/>
      </c>
      <c r="C12" s="7" t="n"/>
      <c r="D12" s="18">
        <f>CUBEVALUE("ThisWorkbookDataModel","[Measures].[Operating Expenses]")</f>
        <v/>
      </c>
      <c r="E12" s="7" t="n"/>
      <c r="F12" s="18">
        <f>CUBEVALUE("ThisWorkbookDataModel","[Measures].[Net Profit]")</f>
        <v/>
      </c>
      <c r="G12" s="7" t="n"/>
      <c r="H12" s="18">
        <f>CUBEVALUE("ThisWorkbookDataModel","[Measures].[Cash Position (Direct, Cumulative)]")</f>
        <v/>
      </c>
      <c r="I12" s="7" t="n"/>
    </row>
    <row r="13" ht="22" customHeight="1">
      <c r="B13" s="7" t="n"/>
      <c r="C13" s="7" t="n"/>
      <c r="D13" s="7" t="n"/>
      <c r="E13" s="7" t="n"/>
      <c r="F13" s="7" t="n"/>
      <c r="G13" s="7" t="n"/>
      <c r="H13" s="7" t="n"/>
      <c r="I13" s="7" t="n"/>
    </row>
    <row r="16">
      <c r="B16" s="11" t="inlineStr">
        <is>
          <t>P&amp;L TREND  (Net Sales / Operating Expenses / Net Profit)</t>
        </is>
      </c>
    </row>
    <row r="18">
      <c r="C18" s="21">
        <f>TEXT(EDATE(TODAY(),-11),"mmm-yy")</f>
        <v/>
      </c>
      <c r="D18" s="21">
        <f>TEXT(EDATE(TODAY(),-10),"mmm-yy")</f>
        <v/>
      </c>
      <c r="E18" s="21">
        <f>TEXT(EDATE(TODAY(),-9),"mmm-yy")</f>
        <v/>
      </c>
      <c r="F18" s="21">
        <f>TEXT(EDATE(TODAY(),-8),"mmm-yy")</f>
        <v/>
      </c>
      <c r="G18" s="21">
        <f>TEXT(EDATE(TODAY(),-7),"mmm-yy")</f>
        <v/>
      </c>
      <c r="H18" s="21">
        <f>TEXT(EDATE(TODAY(),-6),"mmm-yy")</f>
        <v/>
      </c>
      <c r="I18" s="21">
        <f>TEXT(EDATE(TODAY(),-5),"mmm-yy")</f>
        <v/>
      </c>
      <c r="J18" s="21">
        <f>TEXT(EDATE(TODAY(),-4),"mmm-yy")</f>
        <v/>
      </c>
      <c r="K18" s="21">
        <f>TEXT(EDATE(TODAY(),-3),"mmm-yy")</f>
        <v/>
      </c>
      <c r="L18" s="21">
        <f>TEXT(EDATE(TODAY(),-2),"mmm-yy")</f>
        <v/>
      </c>
      <c r="M18" s="21">
        <f>TEXT(EDATE(TODAY(),-1),"mmm-yy")</f>
        <v/>
      </c>
      <c r="N18" s="21">
        <f>TEXT(EDATE(TODAY(),0),"mmm-yy")</f>
        <v/>
      </c>
    </row>
    <row r="19">
      <c r="B19" s="43" t="inlineStr">
        <is>
          <t>Net Sales</t>
        </is>
      </c>
      <c r="C19" s="22">
        <f>CUBEVALUE("ThisWorkbookDataModel","[Measures].[Net Sales]","[DIM_Date].[Year].&amp;["&amp;YEAR(EDATE(TODAY(),-11))&amp;"]","[DIM_Date].[Month].&amp;["&amp;MONTH(EDATE(TODAY(),-11))&amp;"]")</f>
        <v/>
      </c>
      <c r="D19" s="22">
        <f>CUBEVALUE("ThisWorkbookDataModel","[Measures].[Net Sales]","[DIM_Date].[Year].&amp;["&amp;YEAR(EDATE(TODAY(),-10))&amp;"]","[DIM_Date].[Month].&amp;["&amp;MONTH(EDATE(TODAY(),-10))&amp;"]")</f>
        <v/>
      </c>
      <c r="E19" s="22">
        <f>CUBEVALUE("ThisWorkbookDataModel","[Measures].[Net Sales]","[DIM_Date].[Year].&amp;["&amp;YEAR(EDATE(TODAY(),-9))&amp;"]","[DIM_Date].[Month].&amp;["&amp;MONTH(EDATE(TODAY(),-9))&amp;"]")</f>
        <v/>
      </c>
      <c r="F19" s="22">
        <f>CUBEVALUE("ThisWorkbookDataModel","[Measures].[Net Sales]","[DIM_Date].[Year].&amp;["&amp;YEAR(EDATE(TODAY(),-8))&amp;"]","[DIM_Date].[Month].&amp;["&amp;MONTH(EDATE(TODAY(),-8))&amp;"]")</f>
        <v/>
      </c>
      <c r="G19" s="22">
        <f>CUBEVALUE("ThisWorkbookDataModel","[Measures].[Net Sales]","[DIM_Date].[Year].&amp;["&amp;YEAR(EDATE(TODAY(),-7))&amp;"]","[DIM_Date].[Month].&amp;["&amp;MONTH(EDATE(TODAY(),-7))&amp;"]")</f>
        <v/>
      </c>
      <c r="H19" s="22">
        <f>CUBEVALUE("ThisWorkbookDataModel","[Measures].[Net Sales]","[DIM_Date].[Year].&amp;["&amp;YEAR(EDATE(TODAY(),-6))&amp;"]","[DIM_Date].[Month].&amp;["&amp;MONTH(EDATE(TODAY(),-6))&amp;"]")</f>
        <v/>
      </c>
      <c r="I19" s="22">
        <f>CUBEVALUE("ThisWorkbookDataModel","[Measures].[Net Sales]","[DIM_Date].[Year].&amp;["&amp;YEAR(EDATE(TODAY(),-5))&amp;"]","[DIM_Date].[Month].&amp;["&amp;MONTH(EDATE(TODAY(),-5))&amp;"]")</f>
        <v/>
      </c>
      <c r="J19" s="22">
        <f>CUBEVALUE("ThisWorkbookDataModel","[Measures].[Net Sales]","[DIM_Date].[Year].&amp;["&amp;YEAR(EDATE(TODAY(),-4))&amp;"]","[DIM_Date].[Month].&amp;["&amp;MONTH(EDATE(TODAY(),-4))&amp;"]")</f>
        <v/>
      </c>
      <c r="K19" s="22">
        <f>CUBEVALUE("ThisWorkbookDataModel","[Measures].[Net Sales]","[DIM_Date].[Year].&amp;["&amp;YEAR(EDATE(TODAY(),-3))&amp;"]","[DIM_Date].[Month].&amp;["&amp;MONTH(EDATE(TODAY(),-3))&amp;"]")</f>
        <v/>
      </c>
      <c r="L19" s="22">
        <f>CUBEVALUE("ThisWorkbookDataModel","[Measures].[Net Sales]","[DIM_Date].[Year].&amp;["&amp;YEAR(EDATE(TODAY(),-2))&amp;"]","[DIM_Date].[Month].&amp;["&amp;MONTH(EDATE(TODAY(),-2))&amp;"]")</f>
        <v/>
      </c>
      <c r="M19" s="22">
        <f>CUBEVALUE("ThisWorkbookDataModel","[Measures].[Net Sales]","[DIM_Date].[Year].&amp;["&amp;YEAR(EDATE(TODAY(),-1))&amp;"]","[DIM_Date].[Month].&amp;["&amp;MONTH(EDATE(TODAY(),-1))&amp;"]")</f>
        <v/>
      </c>
      <c r="N19" s="22">
        <f>CUBEVALUE("ThisWorkbookDataModel","[Measures].[Net Sales]","[DIM_Date].[Year].&amp;["&amp;YEAR(EDATE(TODAY(),0))&amp;"]","[DIM_Date].[Month].&amp;["&amp;MONTH(EDATE(TODAY(),0))&amp;"]")</f>
        <v/>
      </c>
    </row>
    <row r="20">
      <c r="B20" s="43" t="inlineStr">
        <is>
          <t>Operating Expenses</t>
        </is>
      </c>
      <c r="C20" s="22">
        <f>CUBEVALUE("ThisWorkbookDataModel","[Measures].[Operating Expenses]","[DIM_Date].[Year].&amp;["&amp;YEAR(EDATE(TODAY(),-11))&amp;"]","[DIM_Date].[Month].&amp;["&amp;MONTH(EDATE(TODAY(),-11))&amp;"]")</f>
        <v/>
      </c>
      <c r="D20" s="22">
        <f>CUBEVALUE("ThisWorkbookDataModel","[Measures].[Operating Expenses]","[DIM_Date].[Year].&amp;["&amp;YEAR(EDATE(TODAY(),-10))&amp;"]","[DIM_Date].[Month].&amp;["&amp;MONTH(EDATE(TODAY(),-10))&amp;"]")</f>
        <v/>
      </c>
      <c r="E20" s="22">
        <f>CUBEVALUE("ThisWorkbookDataModel","[Measures].[Operating Expenses]","[DIM_Date].[Year].&amp;["&amp;YEAR(EDATE(TODAY(),-9))&amp;"]","[DIM_Date].[Month].&amp;["&amp;MONTH(EDATE(TODAY(),-9))&amp;"]")</f>
        <v/>
      </c>
      <c r="F20" s="22">
        <f>CUBEVALUE("ThisWorkbookDataModel","[Measures].[Operating Expenses]","[DIM_Date].[Year].&amp;["&amp;YEAR(EDATE(TODAY(),-8))&amp;"]","[DIM_Date].[Month].&amp;["&amp;MONTH(EDATE(TODAY(),-8))&amp;"]")</f>
        <v/>
      </c>
      <c r="G20" s="22">
        <f>CUBEVALUE("ThisWorkbookDataModel","[Measures].[Operating Expenses]","[DIM_Date].[Year].&amp;["&amp;YEAR(EDATE(TODAY(),-7))&amp;"]","[DIM_Date].[Month].&amp;["&amp;MONTH(EDATE(TODAY(),-7))&amp;"]")</f>
        <v/>
      </c>
      <c r="H20" s="22">
        <f>CUBEVALUE("ThisWorkbookDataModel","[Measures].[Operating Expenses]","[DIM_Date].[Year].&amp;["&amp;YEAR(EDATE(TODAY(),-6))&amp;"]","[DIM_Date].[Month].&amp;["&amp;MONTH(EDATE(TODAY(),-6))&amp;"]")</f>
        <v/>
      </c>
      <c r="I20" s="22">
        <f>CUBEVALUE("ThisWorkbookDataModel","[Measures].[Operating Expenses]","[DIM_Date].[Year].&amp;["&amp;YEAR(EDATE(TODAY(),-5))&amp;"]","[DIM_Date].[Month].&amp;["&amp;MONTH(EDATE(TODAY(),-5))&amp;"]")</f>
        <v/>
      </c>
      <c r="J20" s="22">
        <f>CUBEVALUE("ThisWorkbookDataModel","[Measures].[Operating Expenses]","[DIM_Date].[Year].&amp;["&amp;YEAR(EDATE(TODAY(),-4))&amp;"]","[DIM_Date].[Month].&amp;["&amp;MONTH(EDATE(TODAY(),-4))&amp;"]")</f>
        <v/>
      </c>
      <c r="K20" s="22">
        <f>CUBEVALUE("ThisWorkbookDataModel","[Measures].[Operating Expenses]","[DIM_Date].[Year].&amp;["&amp;YEAR(EDATE(TODAY(),-3))&amp;"]","[DIM_Date].[Month].&amp;["&amp;MONTH(EDATE(TODAY(),-3))&amp;"]")</f>
        <v/>
      </c>
      <c r="L20" s="22">
        <f>CUBEVALUE("ThisWorkbookDataModel","[Measures].[Operating Expenses]","[DIM_Date].[Year].&amp;["&amp;YEAR(EDATE(TODAY(),-2))&amp;"]","[DIM_Date].[Month].&amp;["&amp;MONTH(EDATE(TODAY(),-2))&amp;"]")</f>
        <v/>
      </c>
      <c r="M20" s="22">
        <f>CUBEVALUE("ThisWorkbookDataModel","[Measures].[Operating Expenses]","[DIM_Date].[Year].&amp;["&amp;YEAR(EDATE(TODAY(),-1))&amp;"]","[DIM_Date].[Month].&amp;["&amp;MONTH(EDATE(TODAY(),-1))&amp;"]")</f>
        <v/>
      </c>
      <c r="N20" s="22">
        <f>CUBEVALUE("ThisWorkbookDataModel","[Measures].[Operating Expenses]","[DIM_Date].[Year].&amp;["&amp;YEAR(EDATE(TODAY(),0))&amp;"]","[DIM_Date].[Month].&amp;["&amp;MONTH(EDATE(TODAY(),0))&amp;"]")</f>
        <v/>
      </c>
    </row>
    <row r="21">
      <c r="B21" s="43" t="inlineStr">
        <is>
          <t>Net Profit</t>
        </is>
      </c>
      <c r="C21" s="22">
        <f>CUBEVALUE("ThisWorkbookDataModel","[Measures].[Net Profit]","[DIM_Date].[Year].&amp;["&amp;YEAR(EDATE(TODAY(),-11))&amp;"]","[DIM_Date].[Month].&amp;["&amp;MONTH(EDATE(TODAY(),-11))&amp;"]")</f>
        <v/>
      </c>
      <c r="D21" s="22">
        <f>CUBEVALUE("ThisWorkbookDataModel","[Measures].[Net Profit]","[DIM_Date].[Year].&amp;["&amp;YEAR(EDATE(TODAY(),-10))&amp;"]","[DIM_Date].[Month].&amp;["&amp;MONTH(EDATE(TODAY(),-10))&amp;"]")</f>
        <v/>
      </c>
      <c r="E21" s="22">
        <f>CUBEVALUE("ThisWorkbookDataModel","[Measures].[Net Profit]","[DIM_Date].[Year].&amp;["&amp;YEAR(EDATE(TODAY(),-9))&amp;"]","[DIM_Date].[Month].&amp;["&amp;MONTH(EDATE(TODAY(),-9))&amp;"]")</f>
        <v/>
      </c>
      <c r="F21" s="22">
        <f>CUBEVALUE("ThisWorkbookDataModel","[Measures].[Net Profit]","[DIM_Date].[Year].&amp;["&amp;YEAR(EDATE(TODAY(),-8))&amp;"]","[DIM_Date].[Month].&amp;["&amp;MONTH(EDATE(TODAY(),-8))&amp;"]")</f>
        <v/>
      </c>
      <c r="G21" s="22">
        <f>CUBEVALUE("ThisWorkbookDataModel","[Measures].[Net Profit]","[DIM_Date].[Year].&amp;["&amp;YEAR(EDATE(TODAY(),-7))&amp;"]","[DIM_Date].[Month].&amp;["&amp;MONTH(EDATE(TODAY(),-7))&amp;"]")</f>
        <v/>
      </c>
      <c r="H21" s="22">
        <f>CUBEVALUE("ThisWorkbookDataModel","[Measures].[Net Profit]","[DIM_Date].[Year].&amp;["&amp;YEAR(EDATE(TODAY(),-6))&amp;"]","[DIM_Date].[Month].&amp;["&amp;MONTH(EDATE(TODAY(),-6))&amp;"]")</f>
        <v/>
      </c>
      <c r="I21" s="22">
        <f>CUBEVALUE("ThisWorkbookDataModel","[Measures].[Net Profit]","[DIM_Date].[Year].&amp;["&amp;YEAR(EDATE(TODAY(),-5))&amp;"]","[DIM_Date].[Month].&amp;["&amp;MONTH(EDATE(TODAY(),-5))&amp;"]")</f>
        <v/>
      </c>
      <c r="J21" s="22">
        <f>CUBEVALUE("ThisWorkbookDataModel","[Measures].[Net Profit]","[DIM_Date].[Year].&amp;["&amp;YEAR(EDATE(TODAY(),-4))&amp;"]","[DIM_Date].[Month].&amp;["&amp;MONTH(EDATE(TODAY(),-4))&amp;"]")</f>
        <v/>
      </c>
      <c r="K21" s="22">
        <f>CUBEVALUE("ThisWorkbookDataModel","[Measures].[Net Profit]","[DIM_Date].[Year].&amp;["&amp;YEAR(EDATE(TODAY(),-3))&amp;"]","[DIM_Date].[Month].&amp;["&amp;MONTH(EDATE(TODAY(),-3))&amp;"]")</f>
        <v/>
      </c>
      <c r="L21" s="22">
        <f>CUBEVALUE("ThisWorkbookDataModel","[Measures].[Net Profit]","[DIM_Date].[Year].&amp;["&amp;YEAR(EDATE(TODAY(),-2))&amp;"]","[DIM_Date].[Month].&amp;["&amp;MONTH(EDATE(TODAY(),-2))&amp;"]")</f>
        <v/>
      </c>
      <c r="M21" s="22">
        <f>CUBEVALUE("ThisWorkbookDataModel","[Measures].[Net Profit]","[DIM_Date].[Year].&amp;["&amp;YEAR(EDATE(TODAY(),-1))&amp;"]","[DIM_Date].[Month].&amp;["&amp;MONTH(EDATE(TODAY(),-1))&amp;"]")</f>
        <v/>
      </c>
      <c r="N21" s="22">
        <f>CUBEVALUE("ThisWorkbookDataModel","[Measures].[Net Profit]","[DIM_Date].[Year].&amp;["&amp;YEAR(EDATE(TODAY(),0))&amp;"]","[DIM_Date].[Month].&amp;["&amp;MONTH(EDATE(TODAY(),0))&amp;"]")</f>
        <v/>
      </c>
    </row>
    <row r="41">
      <c r="B41" s="11" t="inlineStr">
        <is>
          <t>P&amp;L STATEMENT</t>
        </is>
      </c>
    </row>
    <row r="42">
      <c r="B42" s="11" t="inlineStr">
        <is>
          <t>P&amp;L Statement (dax/MEASURES.md §1)</t>
        </is>
      </c>
    </row>
    <row r="43">
      <c r="B43" s="24" t="inlineStr">
        <is>
          <t>Gross Sales</t>
        </is>
      </c>
      <c r="D43" s="44">
        <f>CUBEVALUE("ThisWorkbookDataModel","[Measures].[Gross Sales]")</f>
        <v/>
      </c>
    </row>
    <row r="44">
      <c r="B44" s="24" t="inlineStr">
        <is>
          <t>Discounts</t>
        </is>
      </c>
      <c r="D44" s="44">
        <f>CUBEVALUE("ThisWorkbookDataModel","[Measures].[Discounts]")</f>
        <v/>
      </c>
    </row>
    <row r="45">
      <c r="B45" s="24" t="inlineStr">
        <is>
          <t>Returns</t>
        </is>
      </c>
      <c r="D45" s="44">
        <f>CUBEVALUE("ThisWorkbookDataModel","[Measures].[Returns]")</f>
        <v/>
      </c>
    </row>
    <row r="46">
      <c r="B46" s="24" t="inlineStr">
        <is>
          <t>Net Sales</t>
        </is>
      </c>
      <c r="D46" s="44">
        <f>CUBEVALUE("ThisWorkbookDataModel","[Measures].[Net Sales]")</f>
        <v/>
      </c>
    </row>
    <row r="47">
      <c r="B47" s="24" t="inlineStr">
        <is>
          <t>COGS</t>
        </is>
      </c>
      <c r="D47" s="44">
        <f>CUBEVALUE("ThisWorkbookDataModel","[Measures].[COGS]")</f>
        <v/>
      </c>
    </row>
    <row r="48">
      <c r="B48" s="24" t="inlineStr">
        <is>
          <t>Gross Profit</t>
        </is>
      </c>
      <c r="D48" s="44">
        <f>CUBEVALUE("ThisWorkbookDataModel","[Measures].[Gross Profit]")</f>
        <v/>
      </c>
    </row>
    <row r="49">
      <c r="B49" s="24" t="inlineStr">
        <is>
          <t>Gross Margin %</t>
        </is>
      </c>
      <c r="D49" s="45">
        <f>CUBEVALUE("ThisWorkbookDataModel","[Measures].[Gross Margin %]")</f>
        <v/>
      </c>
    </row>
    <row r="50">
      <c r="B50" s="24" t="inlineStr">
        <is>
          <t>Operating Expenses</t>
        </is>
      </c>
      <c r="D50" s="44">
        <f>CUBEVALUE("ThisWorkbookDataModel","[Measures].[Operating Expenses]")</f>
        <v/>
      </c>
    </row>
    <row r="51">
      <c r="B51" s="24" t="inlineStr">
        <is>
          <t>EBITDA</t>
        </is>
      </c>
      <c r="D51" s="44">
        <f>CUBEVALUE("ThisWorkbookDataModel","[Measures].[EBITDA]")</f>
        <v/>
      </c>
    </row>
    <row r="52">
      <c r="B52" s="24" t="inlineStr">
        <is>
          <t>Net Profit</t>
        </is>
      </c>
      <c r="D52" s="44">
        <f>CUBEVALUE("ThisWorkbookDataModel","[Measures].[Net Profit]")</f>
        <v/>
      </c>
    </row>
    <row r="55">
      <c r="B55" s="11" t="inlineStr">
        <is>
          <t>CASH FLOW STATEMENT</t>
        </is>
      </c>
    </row>
    <row r="56">
      <c r="B56" s="11" t="inlineStr">
        <is>
          <t>Cash Flow Statement (dax/MEASURES.md §3)</t>
        </is>
      </c>
    </row>
    <row r="57">
      <c r="B57" s="24" t="inlineStr">
        <is>
          <t>Cash Flow from Operating Activities</t>
        </is>
      </c>
      <c r="D57" s="44">
        <f>CUBEVALUE("ThisWorkbookDataModel","[Measures].[Cash Flow from Operating Activities]")</f>
        <v/>
      </c>
    </row>
    <row r="58">
      <c r="B58" s="24" t="inlineStr">
        <is>
          <t>Cash Flow from Investing Activities</t>
        </is>
      </c>
      <c r="D58" s="44">
        <f>CUBEVALUE("ThisWorkbookDataModel","[Measures].[Cash Flow from Investing Activities]")</f>
        <v/>
      </c>
    </row>
    <row r="59">
      <c r="B59" s="24" t="inlineStr">
        <is>
          <t>Cash Flow from Financing Activities</t>
        </is>
      </c>
      <c r="D59" s="44">
        <f>CUBEVALUE("ThisWorkbookDataModel","[Measures].[Cash Flow from Financing Activities]")</f>
        <v/>
      </c>
    </row>
    <row r="60">
      <c r="B60" s="24" t="inlineStr">
        <is>
          <t>Net Cash Flow</t>
        </is>
      </c>
      <c r="D60" s="44">
        <f>CUBEVALUE("ThisWorkbookDataModel","[Measures].[Net Cash Flow]")</f>
        <v/>
      </c>
    </row>
    <row r="61">
      <c r="B61" s="24" t="inlineStr">
        <is>
          <t>Cash Position (Direct, Cumulative)</t>
        </is>
      </c>
      <c r="D61" s="44">
        <f>CUBEVALUE("ThisWorkbookDataModel","[Measures].[Cash Position (Direct, Cumulative)]")</f>
        <v/>
      </c>
    </row>
    <row r="65">
      <c r="B65" s="38" t="inlineStr">
        <is>
          <t>BUDGET  (Phase 5 — green cells = type here; Budget ID is automatic)</t>
        </is>
      </c>
    </row>
    <row r="66" ht="20" customHeight="1">
      <c r="B66" s="20" t="inlineStr">
        <is>
          <t>Leave Month blank for a YEARLY budget line (the whole year's target for that Year+Category); fill in Month for a MONTHLY line. dax/MEASURES_PHASE5.md's [Budget Variance] / [Forecast vs Budget] measures match Actuals to whichever grain a report is built at.</t>
        </is>
      </c>
    </row>
    <row r="68" ht="18" customHeight="1">
      <c r="B68" s="39" t="inlineStr">
        <is>
          <t>Budget ID</t>
        </is>
      </c>
      <c r="C68" s="39" t="inlineStr">
        <is>
          <t>Year</t>
        </is>
      </c>
      <c r="D68" s="39" t="inlineStr">
        <is>
          <t>Month</t>
        </is>
      </c>
      <c r="E68" s="39" t="inlineStr">
        <is>
          <t>Category</t>
        </is>
      </c>
      <c r="F68" s="39" t="inlineStr">
        <is>
          <t>Budget Amount</t>
        </is>
      </c>
      <c r="G68" s="39" t="inlineStr">
        <is>
          <t>Notes</t>
        </is>
      </c>
    </row>
    <row r="69">
      <c r="B69" s="30">
        <f>"BUD-"&amp;TEXT(ROW()-68,"00000")</f>
        <v/>
      </c>
      <c r="C69" s="40" t="n">
        <v>2026</v>
      </c>
      <c r="D69" s="40" t="n"/>
      <c r="E69" s="40" t="inlineStr">
        <is>
          <t>Revenue</t>
        </is>
      </c>
      <c r="F69" s="40" t="n">
        <v>500000</v>
      </c>
      <c r="G69" s="40" t="inlineStr">
        <is>
          <t>EXAMPLE — 2026 annual revenue budget</t>
        </is>
      </c>
    </row>
  </sheetData>
  <sheetProtection selectLockedCells="0" selectUnlockedCells="0" sheet="1" objects="0" insertRows="0" insertHyperlinks="1" autoFilter="1" scenarios="0" formatColumns="0" deleteColumns="0" insertColumns="0" pivotTables="0" deleteRows="0" formatCells="0" formatRows="0" sort="1" password="C24F"/>
  <mergeCells count="16">
    <mergeCell ref="B4:L4"/>
    <mergeCell ref="A2:L2"/>
    <mergeCell ref="B12:C13"/>
    <mergeCell ref="F11:G11"/>
    <mergeCell ref="H11:I11"/>
    <mergeCell ref="H12:I13"/>
    <mergeCell ref="B6:L6"/>
    <mergeCell ref="B11:C11"/>
    <mergeCell ref="F12:G13"/>
    <mergeCell ref="D11:E11"/>
    <mergeCell ref="B7:L7"/>
    <mergeCell ref="A1:L1"/>
    <mergeCell ref="D12:E13"/>
    <mergeCell ref="B5:L5"/>
    <mergeCell ref="A3:L3"/>
    <mergeCell ref="B8:L8"/>
  </mergeCells>
  <dataValidations count="1">
    <dataValidation sqref="E69:E501" showDropDown="0" showInputMessage="1" showErrorMessage="1" allowBlank="1" errorTitle="Invalid entry" error="Please choose a value from the Category list — free text isn't accepted here." promptTitle="Category" prompt="Revenue, Expense, Marketing, Purchasing, or Profit — from the list on 15_Settings." type="list" errorStyle="stop">
      <formula1>=LookupBudgetCategory</formula1>
    </dataValidation>
  </dataValidations>
  <hyperlinks>
    <hyperlink xmlns:r="http://schemas.openxmlformats.org/officeDocument/2006/relationships" ref="A2" r:id="rId1"/>
  </hyperlinks>
  <pageMargins left="0.75" right="0.75" top="1" bottom="1" header="0.5" footer="0.5"/>
  <drawing xmlns:r="http://schemas.openxmlformats.org/officeDocument/2006/relationships" r:id="rId2"/>
  <tableParts count="1">
    <tablePart xmlns:r="http://schemas.openxmlformats.org/officeDocument/2006/relationships" r:id="rId3"/>
  </tableParts>
</worksheet>
</file>

<file path=xl/worksheets/sheet9.xml><?xml version="1.0" encoding="utf-8"?>
<worksheet xmlns="http://schemas.openxmlformats.org/spreadsheetml/2006/main">
  <sheetPr>
    <tabColor rgb="00404040"/>
    <outlinePr applyStyles="1" summaryBelow="0" summaryRight="1"/>
    <pageSetUpPr/>
  </sheetPr>
  <dimension ref="A1:N65"/>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Profitability</t>
        </is>
      </c>
    </row>
    <row r="2" ht="16" customHeight="1">
      <c r="A2" s="17" t="inlineStr">
        <is>
          <t>PASSRESS MIS   |   Home ▸ Profitability</t>
        </is>
      </c>
    </row>
    <row r="3" ht="14" customHeight="1">
      <c r="A3" s="3" t="inlineStr">
        <is>
          <t>Sheet Documentation  (use the  +  outline control at left to expand)</t>
        </is>
      </c>
    </row>
    <row r="4" hidden="1" outlineLevel="1" ht="13" customHeight="1">
      <c r="A4" s="4" t="inlineStr">
        <is>
          <t>Purpose</t>
        </is>
      </c>
      <c r="B4" s="5" t="inlineStr">
        <is>
          <t>Margin analysis — gross margin and profitability by product and collection.</t>
        </is>
      </c>
    </row>
    <row r="5" hidden="1" outlineLevel="1" ht="13" customHeight="1">
      <c r="A5" s="4" t="inlineStr">
        <is>
          <t>Input tables</t>
        </is>
      </c>
      <c r="B5" s="5" t="inlineStr">
        <is>
          <t>FACT_OrderLines, DIM_Product, DIM_Collection.</t>
        </is>
      </c>
    </row>
    <row r="6" hidden="1" outlineLevel="1" ht="13" customHeight="1">
      <c r="A6" s="4" t="inlineStr">
        <is>
          <t>Output tables</t>
        </is>
      </c>
      <c r="B6" s="5" t="inlineStr">
        <is>
          <t>Profitability KPI row, Margin Trend chart, Margin by Product / Margin by Collection breakdown tables (CUBE-function substitutes for a PivotTable).</t>
        </is>
      </c>
    </row>
    <row r="7" hidden="1" outlineLevel="1" ht="13" customHeight="1">
      <c r="A7" s="4" t="inlineStr">
        <is>
          <t>Relationships</t>
        </is>
      </c>
      <c r="B7" s="5" t="inlineStr">
        <is>
          <t>FACT_OrderLines carries both revenue and COGS at line grain, enabling margin by any dimension.</t>
        </is>
      </c>
    </row>
    <row r="8" hidden="1" outlineLevel="1" ht="13" customHeight="1">
      <c r="A8" s="4" t="inlineStr">
        <is>
          <t>Future data source</t>
        </is>
      </c>
      <c r="B8" s="5" t="inlineStr">
        <is>
          <t>Live now: reads dax/MEASURES.md's Gross Margin %/Gross Profit measures directly.</t>
        </is>
      </c>
    </row>
    <row r="9" hidden="1" outlineLevel="1"/>
    <row r="10" ht="6" customHeight="1"/>
    <row r="11" ht="15" customHeight="1">
      <c r="B11" s="6" t="inlineStr">
        <is>
          <t>GROSS MARGIN %</t>
        </is>
      </c>
      <c r="C11" s="7" t="n"/>
      <c r="D11" s="6" t="inlineStr">
        <is>
          <t>CONTRIBUTION MARGIN %</t>
        </is>
      </c>
      <c r="E11" s="7" t="n"/>
      <c r="F11" s="6" t="inlineStr">
        <is>
          <t>BEST MARGIN CATEGORY</t>
        </is>
      </c>
      <c r="G11" s="7" t="n"/>
      <c r="H11" s="6" t="inlineStr">
        <is>
          <t>WORST MARGIN CATEGORY</t>
        </is>
      </c>
      <c r="I11" s="7" t="n"/>
      <c r="N11" s="23">
        <f>CUBESET("ThisWorkbookDataModel","{[DIM_Product].[ProductType].Children}","BestMarginCategory","BDESC","[Measures].[Gross Margin %]")</f>
        <v/>
      </c>
    </row>
    <row r="12" ht="22" customHeight="1">
      <c r="B12" s="19">
        <f>CUBEVALUE("ThisWorkbookDataModel","[Measures].[Gross Margin %]")</f>
        <v/>
      </c>
      <c r="C12" s="7" t="n"/>
      <c r="D12" s="9" t="inlineStr">
        <is>
          <t>N/A</t>
        </is>
      </c>
      <c r="E12" s="7" t="n"/>
      <c r="F12" s="35">
        <f>CUBERANKEDMEMBER("ThisWorkbookDataModel",$N$11,1)</f>
        <v/>
      </c>
      <c r="G12" s="7" t="n"/>
      <c r="H12" s="35">
        <f>CUBERANKEDMEMBER("ThisWorkbookDataModel",$N$12,1)</f>
        <v/>
      </c>
      <c r="I12" s="7" t="n"/>
      <c r="N12" s="23">
        <f>CUBESET("ThisWorkbookDataModel","{[DIM_Product].[ProductType].Children}","WorstMarginCategory","BASC","[Measures].[Gross Margin %]")</f>
        <v/>
      </c>
    </row>
    <row r="13" ht="22" customHeight="1">
      <c r="B13" s="7" t="n"/>
      <c r="C13" s="7" t="n"/>
      <c r="D13" s="7" t="n"/>
      <c r="E13" s="7" t="n"/>
      <c r="F13" s="7" t="n"/>
      <c r="G13" s="7" t="n"/>
      <c r="H13" s="7" t="n"/>
      <c r="I13" s="7" t="n"/>
    </row>
    <row r="16" ht="24" customHeight="1">
      <c r="B16" s="20" t="inlineStr">
        <is>
          <t>"Category" = Shopify's ProductType field (DIM_Product[ProductType]) — the workbook has no separate Category dimension. Same ranking caveat as BI_Insights' Best/Weakest Seller: a low-volume ProductType can rank first/last on a thin sample.</t>
        </is>
      </c>
    </row>
    <row r="17">
      <c r="B17" s="11" t="inlineStr">
        <is>
          <t>MARGIN TREND</t>
        </is>
      </c>
    </row>
    <row r="18">
      <c r="B18" s="13" t="inlineStr">
        <is>
          <t>Gross Margin % — trailing 12 months</t>
        </is>
      </c>
    </row>
    <row r="19">
      <c r="C19" s="21">
        <f>TEXT(EDATE(TODAY(),-11),"mmm-yy")</f>
        <v/>
      </c>
      <c r="D19" s="21">
        <f>TEXT(EDATE(TODAY(),-10),"mmm-yy")</f>
        <v/>
      </c>
      <c r="E19" s="21">
        <f>TEXT(EDATE(TODAY(),-9),"mmm-yy")</f>
        <v/>
      </c>
      <c r="F19" s="21">
        <f>TEXT(EDATE(TODAY(),-8),"mmm-yy")</f>
        <v/>
      </c>
      <c r="G19" s="21">
        <f>TEXT(EDATE(TODAY(),-7),"mmm-yy")</f>
        <v/>
      </c>
      <c r="H19" s="21">
        <f>TEXT(EDATE(TODAY(),-6),"mmm-yy")</f>
        <v/>
      </c>
      <c r="I19" s="21">
        <f>TEXT(EDATE(TODAY(),-5),"mmm-yy")</f>
        <v/>
      </c>
      <c r="J19" s="21">
        <f>TEXT(EDATE(TODAY(),-4),"mmm-yy")</f>
        <v/>
      </c>
      <c r="K19" s="21">
        <f>TEXT(EDATE(TODAY(),-3),"mmm-yy")</f>
        <v/>
      </c>
      <c r="L19" s="21">
        <f>TEXT(EDATE(TODAY(),-2),"mmm-yy")</f>
        <v/>
      </c>
      <c r="M19" s="21">
        <f>TEXT(EDATE(TODAY(),-1),"mmm-yy")</f>
        <v/>
      </c>
      <c r="N19" s="21">
        <f>TEXT(EDATE(TODAY(),0),"mmm-yy")</f>
        <v/>
      </c>
    </row>
    <row r="20">
      <c r="C20" s="46">
        <f>CUBEVALUE("ThisWorkbookDataModel","[Measures].[Gross Margin %]","[DIM_Date].[Year].&amp;["&amp;YEAR(EDATE(TODAY(),-11))&amp;"]","[DIM_Date].[Month].&amp;["&amp;MONTH(EDATE(TODAY(),-11))&amp;"]")</f>
        <v/>
      </c>
      <c r="D20" s="46">
        <f>CUBEVALUE("ThisWorkbookDataModel","[Measures].[Gross Margin %]","[DIM_Date].[Year].&amp;["&amp;YEAR(EDATE(TODAY(),-10))&amp;"]","[DIM_Date].[Month].&amp;["&amp;MONTH(EDATE(TODAY(),-10))&amp;"]")</f>
        <v/>
      </c>
      <c r="E20" s="46">
        <f>CUBEVALUE("ThisWorkbookDataModel","[Measures].[Gross Margin %]","[DIM_Date].[Year].&amp;["&amp;YEAR(EDATE(TODAY(),-9))&amp;"]","[DIM_Date].[Month].&amp;["&amp;MONTH(EDATE(TODAY(),-9))&amp;"]")</f>
        <v/>
      </c>
      <c r="F20" s="46">
        <f>CUBEVALUE("ThisWorkbookDataModel","[Measures].[Gross Margin %]","[DIM_Date].[Year].&amp;["&amp;YEAR(EDATE(TODAY(),-8))&amp;"]","[DIM_Date].[Month].&amp;["&amp;MONTH(EDATE(TODAY(),-8))&amp;"]")</f>
        <v/>
      </c>
      <c r="G20" s="46">
        <f>CUBEVALUE("ThisWorkbookDataModel","[Measures].[Gross Margin %]","[DIM_Date].[Year].&amp;["&amp;YEAR(EDATE(TODAY(),-7))&amp;"]","[DIM_Date].[Month].&amp;["&amp;MONTH(EDATE(TODAY(),-7))&amp;"]")</f>
        <v/>
      </c>
      <c r="H20" s="46">
        <f>CUBEVALUE("ThisWorkbookDataModel","[Measures].[Gross Margin %]","[DIM_Date].[Year].&amp;["&amp;YEAR(EDATE(TODAY(),-6))&amp;"]","[DIM_Date].[Month].&amp;["&amp;MONTH(EDATE(TODAY(),-6))&amp;"]")</f>
        <v/>
      </c>
      <c r="I20" s="46">
        <f>CUBEVALUE("ThisWorkbookDataModel","[Measures].[Gross Margin %]","[DIM_Date].[Year].&amp;["&amp;YEAR(EDATE(TODAY(),-5))&amp;"]","[DIM_Date].[Month].&amp;["&amp;MONTH(EDATE(TODAY(),-5))&amp;"]")</f>
        <v/>
      </c>
      <c r="J20" s="46">
        <f>CUBEVALUE("ThisWorkbookDataModel","[Measures].[Gross Margin %]","[DIM_Date].[Year].&amp;["&amp;YEAR(EDATE(TODAY(),-4))&amp;"]","[DIM_Date].[Month].&amp;["&amp;MONTH(EDATE(TODAY(),-4))&amp;"]")</f>
        <v/>
      </c>
      <c r="K20" s="46">
        <f>CUBEVALUE("ThisWorkbookDataModel","[Measures].[Gross Margin %]","[DIM_Date].[Year].&amp;["&amp;YEAR(EDATE(TODAY(),-3))&amp;"]","[DIM_Date].[Month].&amp;["&amp;MONTH(EDATE(TODAY(),-3))&amp;"]")</f>
        <v/>
      </c>
      <c r="L20" s="46">
        <f>CUBEVALUE("ThisWorkbookDataModel","[Measures].[Gross Margin %]","[DIM_Date].[Year].&amp;["&amp;YEAR(EDATE(TODAY(),-2))&amp;"]","[DIM_Date].[Month].&amp;["&amp;MONTH(EDATE(TODAY(),-2))&amp;"]")</f>
        <v/>
      </c>
      <c r="M20" s="46">
        <f>CUBEVALUE("ThisWorkbookDataModel","[Measures].[Gross Margin %]","[DIM_Date].[Year].&amp;["&amp;YEAR(EDATE(TODAY(),-1))&amp;"]","[DIM_Date].[Month].&amp;["&amp;MONTH(EDATE(TODAY(),-1))&amp;"]")</f>
        <v/>
      </c>
      <c r="N20" s="46">
        <f>CUBEVALUE("ThisWorkbookDataModel","[Measures].[Gross Margin %]","[DIM_Date].[Year].&amp;["&amp;YEAR(EDATE(TODAY(),0))&amp;"]","[DIM_Date].[Month].&amp;["&amp;MONTH(EDATE(TODAY(),0))&amp;"]")</f>
        <v/>
      </c>
    </row>
    <row r="38">
      <c r="B38" s="11" t="inlineStr">
        <is>
          <t>MARGIN BY PRODUCT</t>
        </is>
      </c>
    </row>
    <row r="39">
      <c r="B39" s="11" t="inlineStr">
        <is>
          <t>Margin by Product (Top 8 by Gross Profit)</t>
        </is>
      </c>
      <c r="G39" s="23">
        <f>CUBESET("ThisWorkbookDataModel","{[DIM_Product].[Title].Children}","Margin by Product (Top 8 by Gross Profit)","BDESC","[Measures].[Gross Profit]")</f>
        <v/>
      </c>
    </row>
    <row r="40">
      <c r="B40" s="32" t="inlineStr">
        <is>
          <t>Title</t>
        </is>
      </c>
      <c r="C40" s="32" t="inlineStr">
        <is>
          <t>Gross Profit</t>
        </is>
      </c>
      <c r="D40" s="32" t="inlineStr">
        <is>
          <t>Gross Margin %</t>
        </is>
      </c>
    </row>
    <row r="41">
      <c r="B41" s="24">
        <f>CUBERANKEDMEMBER("ThisWorkbookDataModel",$G$39,1)</f>
        <v/>
      </c>
      <c r="C41" s="25">
        <f>CUBEVALUE("ThisWorkbookDataModel","[Measures].[Gross Profit]",CUBERANKEDMEMBER("ThisWorkbookDataModel",$G$39,1))</f>
        <v/>
      </c>
      <c r="D41" s="36">
        <f>CUBEVALUE("ThisWorkbookDataModel","[Measures].[Gross Margin %]",CUBERANKEDMEMBER("ThisWorkbookDataModel",$G$39,1))</f>
        <v/>
      </c>
    </row>
    <row r="42">
      <c r="B42" s="24">
        <f>CUBERANKEDMEMBER("ThisWorkbookDataModel",$G$39,2)</f>
        <v/>
      </c>
      <c r="C42" s="25">
        <f>CUBEVALUE("ThisWorkbookDataModel","[Measures].[Gross Profit]",CUBERANKEDMEMBER("ThisWorkbookDataModel",$G$39,2))</f>
        <v/>
      </c>
      <c r="D42" s="36">
        <f>CUBEVALUE("ThisWorkbookDataModel","[Measures].[Gross Margin %]",CUBERANKEDMEMBER("ThisWorkbookDataModel",$G$39,2))</f>
        <v/>
      </c>
    </row>
    <row r="43">
      <c r="B43" s="24">
        <f>CUBERANKEDMEMBER("ThisWorkbookDataModel",$G$39,3)</f>
        <v/>
      </c>
      <c r="C43" s="25">
        <f>CUBEVALUE("ThisWorkbookDataModel","[Measures].[Gross Profit]",CUBERANKEDMEMBER("ThisWorkbookDataModel",$G$39,3))</f>
        <v/>
      </c>
      <c r="D43" s="36">
        <f>CUBEVALUE("ThisWorkbookDataModel","[Measures].[Gross Margin %]",CUBERANKEDMEMBER("ThisWorkbookDataModel",$G$39,3))</f>
        <v/>
      </c>
    </row>
    <row r="44">
      <c r="B44" s="24">
        <f>CUBERANKEDMEMBER("ThisWorkbookDataModel",$G$39,4)</f>
        <v/>
      </c>
      <c r="C44" s="25">
        <f>CUBEVALUE("ThisWorkbookDataModel","[Measures].[Gross Profit]",CUBERANKEDMEMBER("ThisWorkbookDataModel",$G$39,4))</f>
        <v/>
      </c>
      <c r="D44" s="36">
        <f>CUBEVALUE("ThisWorkbookDataModel","[Measures].[Gross Margin %]",CUBERANKEDMEMBER("ThisWorkbookDataModel",$G$39,4))</f>
        <v/>
      </c>
    </row>
    <row r="45">
      <c r="B45" s="24">
        <f>CUBERANKEDMEMBER("ThisWorkbookDataModel",$G$39,5)</f>
        <v/>
      </c>
      <c r="C45" s="25">
        <f>CUBEVALUE("ThisWorkbookDataModel","[Measures].[Gross Profit]",CUBERANKEDMEMBER("ThisWorkbookDataModel",$G$39,5))</f>
        <v/>
      </c>
      <c r="D45" s="36">
        <f>CUBEVALUE("ThisWorkbookDataModel","[Measures].[Gross Margin %]",CUBERANKEDMEMBER("ThisWorkbookDataModel",$G$39,5))</f>
        <v/>
      </c>
    </row>
    <row r="46">
      <c r="B46" s="24">
        <f>CUBERANKEDMEMBER("ThisWorkbookDataModel",$G$39,6)</f>
        <v/>
      </c>
      <c r="C46" s="25">
        <f>CUBEVALUE("ThisWorkbookDataModel","[Measures].[Gross Profit]",CUBERANKEDMEMBER("ThisWorkbookDataModel",$G$39,6))</f>
        <v/>
      </c>
      <c r="D46" s="36">
        <f>CUBEVALUE("ThisWorkbookDataModel","[Measures].[Gross Margin %]",CUBERANKEDMEMBER("ThisWorkbookDataModel",$G$39,6))</f>
        <v/>
      </c>
    </row>
    <row r="47">
      <c r="B47" s="24">
        <f>CUBERANKEDMEMBER("ThisWorkbookDataModel",$G$39,7)</f>
        <v/>
      </c>
      <c r="C47" s="25">
        <f>CUBEVALUE("ThisWorkbookDataModel","[Measures].[Gross Profit]",CUBERANKEDMEMBER("ThisWorkbookDataModel",$G$39,7))</f>
        <v/>
      </c>
      <c r="D47" s="36">
        <f>CUBEVALUE("ThisWorkbookDataModel","[Measures].[Gross Margin %]",CUBERANKEDMEMBER("ThisWorkbookDataModel",$G$39,7))</f>
        <v/>
      </c>
    </row>
    <row r="48">
      <c r="B48" s="24">
        <f>CUBERANKEDMEMBER("ThisWorkbookDataModel",$G$39,8)</f>
        <v/>
      </c>
      <c r="C48" s="25">
        <f>CUBEVALUE("ThisWorkbookDataModel","[Measures].[Gross Profit]",CUBERANKEDMEMBER("ThisWorkbookDataModel",$G$39,8))</f>
        <v/>
      </c>
      <c r="D48" s="36">
        <f>CUBEVALUE("ThisWorkbookDataModel","[Measures].[Gross Margin %]",CUBERANKEDMEMBER("ThisWorkbookDataModel",$G$39,8))</f>
        <v/>
      </c>
    </row>
    <row r="51">
      <c r="B51" s="11" t="inlineStr">
        <is>
          <t>MARGIN BY COLLECTION</t>
        </is>
      </c>
    </row>
    <row r="52">
      <c r="B52" s="11" t="inlineStr">
        <is>
          <t>Margin by Collection (Top 8 by Gross Profit)</t>
        </is>
      </c>
      <c r="G52" s="23">
        <f>CUBESET("ThisWorkbookDataModel","{[DIM_Collection].[Title].Children}","Margin by Collection (Top 8 by Gross Profit)","BDESC","[Measures].[Gross Profit]")</f>
        <v/>
      </c>
    </row>
    <row r="53">
      <c r="B53" s="32" t="inlineStr">
        <is>
          <t>Title</t>
        </is>
      </c>
      <c r="C53" s="32" t="inlineStr">
        <is>
          <t>Gross Profit</t>
        </is>
      </c>
      <c r="D53" s="32" t="inlineStr">
        <is>
          <t>Gross Margin %</t>
        </is>
      </c>
    </row>
    <row r="54">
      <c r="B54" s="24">
        <f>CUBERANKEDMEMBER("ThisWorkbookDataModel",$G$52,1)</f>
        <v/>
      </c>
      <c r="C54" s="25">
        <f>CUBEVALUE("ThisWorkbookDataModel","[Measures].[Gross Profit]",CUBERANKEDMEMBER("ThisWorkbookDataModel",$G$52,1))</f>
        <v/>
      </c>
      <c r="D54" s="36">
        <f>CUBEVALUE("ThisWorkbookDataModel","[Measures].[Gross Margin %]",CUBERANKEDMEMBER("ThisWorkbookDataModel",$G$52,1))</f>
        <v/>
      </c>
    </row>
    <row r="55">
      <c r="B55" s="24">
        <f>CUBERANKEDMEMBER("ThisWorkbookDataModel",$G$52,2)</f>
        <v/>
      </c>
      <c r="C55" s="25">
        <f>CUBEVALUE("ThisWorkbookDataModel","[Measures].[Gross Profit]",CUBERANKEDMEMBER("ThisWorkbookDataModel",$G$52,2))</f>
        <v/>
      </c>
      <c r="D55" s="36">
        <f>CUBEVALUE("ThisWorkbookDataModel","[Measures].[Gross Margin %]",CUBERANKEDMEMBER("ThisWorkbookDataModel",$G$52,2))</f>
        <v/>
      </c>
    </row>
    <row r="56">
      <c r="B56" s="24">
        <f>CUBERANKEDMEMBER("ThisWorkbookDataModel",$G$52,3)</f>
        <v/>
      </c>
      <c r="C56" s="25">
        <f>CUBEVALUE("ThisWorkbookDataModel","[Measures].[Gross Profit]",CUBERANKEDMEMBER("ThisWorkbookDataModel",$G$52,3))</f>
        <v/>
      </c>
      <c r="D56" s="36">
        <f>CUBEVALUE("ThisWorkbookDataModel","[Measures].[Gross Margin %]",CUBERANKEDMEMBER("ThisWorkbookDataModel",$G$52,3))</f>
        <v/>
      </c>
    </row>
    <row r="57">
      <c r="B57" s="24">
        <f>CUBERANKEDMEMBER("ThisWorkbookDataModel",$G$52,4)</f>
        <v/>
      </c>
      <c r="C57" s="25">
        <f>CUBEVALUE("ThisWorkbookDataModel","[Measures].[Gross Profit]",CUBERANKEDMEMBER("ThisWorkbookDataModel",$G$52,4))</f>
        <v/>
      </c>
      <c r="D57" s="36">
        <f>CUBEVALUE("ThisWorkbookDataModel","[Measures].[Gross Margin %]",CUBERANKEDMEMBER("ThisWorkbookDataModel",$G$52,4))</f>
        <v/>
      </c>
    </row>
    <row r="58">
      <c r="B58" s="24">
        <f>CUBERANKEDMEMBER("ThisWorkbookDataModel",$G$52,5)</f>
        <v/>
      </c>
      <c r="C58" s="25">
        <f>CUBEVALUE("ThisWorkbookDataModel","[Measures].[Gross Profit]",CUBERANKEDMEMBER("ThisWorkbookDataModel",$G$52,5))</f>
        <v/>
      </c>
      <c r="D58" s="36">
        <f>CUBEVALUE("ThisWorkbookDataModel","[Measures].[Gross Margin %]",CUBERANKEDMEMBER("ThisWorkbookDataModel",$G$52,5))</f>
        <v/>
      </c>
    </row>
    <row r="59">
      <c r="B59" s="24">
        <f>CUBERANKEDMEMBER("ThisWorkbookDataModel",$G$52,6)</f>
        <v/>
      </c>
      <c r="C59" s="25">
        <f>CUBEVALUE("ThisWorkbookDataModel","[Measures].[Gross Profit]",CUBERANKEDMEMBER("ThisWorkbookDataModel",$G$52,6))</f>
        <v/>
      </c>
      <c r="D59" s="36">
        <f>CUBEVALUE("ThisWorkbookDataModel","[Measures].[Gross Margin %]",CUBERANKEDMEMBER("ThisWorkbookDataModel",$G$52,6))</f>
        <v/>
      </c>
    </row>
    <row r="60">
      <c r="B60" s="24">
        <f>CUBERANKEDMEMBER("ThisWorkbookDataModel",$G$52,7)</f>
        <v/>
      </c>
      <c r="C60" s="25">
        <f>CUBEVALUE("ThisWorkbookDataModel","[Measures].[Gross Profit]",CUBERANKEDMEMBER("ThisWorkbookDataModel",$G$52,7))</f>
        <v/>
      </c>
      <c r="D60" s="36">
        <f>CUBEVALUE("ThisWorkbookDataModel","[Measures].[Gross Margin %]",CUBERANKEDMEMBER("ThisWorkbookDataModel",$G$52,7))</f>
        <v/>
      </c>
    </row>
    <row r="61">
      <c r="B61" s="24">
        <f>CUBERANKEDMEMBER("ThisWorkbookDataModel",$G$52,8)</f>
        <v/>
      </c>
      <c r="C61" s="25">
        <f>CUBEVALUE("ThisWorkbookDataModel","[Measures].[Gross Profit]",CUBERANKEDMEMBER("ThisWorkbookDataModel",$G$52,8))</f>
        <v/>
      </c>
      <c r="D61" s="36">
        <f>CUBEVALUE("ThisWorkbookDataModel","[Measures].[Gross Margin %]",CUBERANKEDMEMBER("ThisWorkbookDataModel",$G$52,8))</f>
        <v/>
      </c>
    </row>
    <row r="64">
      <c r="B64" s="37" t="inlineStr">
        <is>
          <t>KNOWN GAPS ON THIS SHEET  (documented, not silently missing)</t>
        </is>
      </c>
    </row>
    <row r="65" ht="24" customHeight="1">
      <c r="B65" s="5" t="inlineStr">
        <is>
          <t>Contribution Margin %: dax/MEASURES.md doesn't define a Contribution Margin % measure — [Gross Margin %] (Net Sales less COGS) is a different, already-defined concept from Contribution Margin (Net Sales less variable costs only, excluding fixed costs), and Operating Expenses aren't split into fixed/variable in this model. Mapping this card to Gross Margin % would mislabel an existing measure as something it isn't, so it's left undocumented instead.</t>
        </is>
      </c>
    </row>
  </sheetData>
  <sheetProtection selectLockedCells="0" selectUnlockedCells="0" sheet="1" objects="0" insertRows="0" insertHyperlinks="1" autoFilter="1" scenarios="0" formatColumns="0" deleteColumns="0" insertColumns="0" pivotTables="0" deleteRows="0" formatCells="0" formatRows="0" sort="1" password="C24F"/>
  <mergeCells count="17">
    <mergeCell ref="B4:L4"/>
    <mergeCell ref="A2:L2"/>
    <mergeCell ref="B12:C13"/>
    <mergeCell ref="F11:G11"/>
    <mergeCell ref="H11:I11"/>
    <mergeCell ref="H12:I13"/>
    <mergeCell ref="B6:L6"/>
    <mergeCell ref="B11:C11"/>
    <mergeCell ref="F12:G13"/>
    <mergeCell ref="B65:L65"/>
    <mergeCell ref="D11:E11"/>
    <mergeCell ref="B7:L7"/>
    <mergeCell ref="A1:L1"/>
    <mergeCell ref="D12:E13"/>
    <mergeCell ref="B5:L5"/>
    <mergeCell ref="A3:L3"/>
    <mergeCell ref="B8:L8"/>
  </mergeCells>
  <hyperlinks>
    <hyperlink xmlns:r="http://schemas.openxmlformats.org/officeDocument/2006/relationships" ref="A2" r:id="rId1"/>
  </hyperlinks>
  <pageMargins left="0.75" right="0.75" top="1" bottom="1" header="0.5" footer="0.5"/>
  <drawing xmlns:r="http://schemas.openxmlformats.org/officeDocument/2006/relationships" r:id="rId2"/>
</worksheet>
</file>

<file path=xl/worksheets/sheet10.xml><?xml version="1.0" encoding="utf-8"?>
<worksheet xmlns="http://schemas.openxmlformats.org/spreadsheetml/2006/main">
  <sheetPr>
    <tabColor rgb="00375623"/>
    <outlinePr applyStyles="1" summaryBelow="0" summaryRight="1"/>
    <pageSetUpPr/>
  </sheetPr>
  <dimension ref="A1:R23"/>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2" customWidth="1" min="3" max="3"/>
    <col width="16" customWidth="1" min="4" max="4"/>
    <col width="16" customWidth="1" min="5" max="5"/>
    <col width="16" customWidth="1" min="6" max="6"/>
    <col width="11" customWidth="1" min="7" max="7"/>
    <col width="10" customWidth="1" min="8" max="8"/>
    <col width="13" customWidth="1" min="9" max="9"/>
    <col width="15" customWidth="1" min="10" max="10"/>
    <col width="12" customWidth="1" min="11" max="11"/>
    <col width="12" customWidth="1" min="12" max="12"/>
    <col width="20" customWidth="1" min="13" max="13"/>
    <col width="14" customWidth="1" min="14" max="14"/>
    <col width="14" customWidth="1" min="15" max="15"/>
    <col width="16" customWidth="1" min="16" max="16"/>
    <col width="18" customWidth="1" min="17" max="17"/>
    <col width="15" customWidth="1" min="18" max="18"/>
  </cols>
  <sheetData>
    <row r="1" ht="34" customHeight="1">
      <c r="A1" s="1" t="inlineStr">
        <is>
          <t>Expenses</t>
        </is>
      </c>
    </row>
    <row r="2" ht="16" customHeight="1">
      <c r="A2" s="17" t="inlineStr">
        <is>
          <t>PASSRESS MIS   |   Home ▸ Expenses</t>
        </is>
      </c>
    </row>
    <row r="3" ht="14" customHeight="1">
      <c r="A3" s="3" t="inlineStr">
        <is>
          <t>Sheet Documentation  (use the  +  outline control at left to expand)</t>
        </is>
      </c>
    </row>
    <row r="4" hidden="1" outlineLevel="1" ht="13" customHeight="1">
      <c r="A4" s="4" t="inlineStr">
        <is>
          <t>Purpose</t>
        </is>
      </c>
      <c r="B4" s="5" t="inlineStr">
        <is>
          <t>Complete operating-expense entry module — the manual-entry source for costs that do not come from Shopify (rent, salaries, ad spend, shipping, etc.), with category/subcategory lookups, optional SKU/Collection attribution, cost-center tagging, document references, and duplicate detection.</t>
        </is>
      </c>
    </row>
    <row r="5" hidden="1" outlineLevel="1" ht="13" customHeight="1">
      <c r="A5" s="4" t="inlineStr">
        <is>
          <t>Input tables</t>
        </is>
      </c>
      <c r="B5" s="5" t="inlineStr">
        <is>
          <t>15_Settings lookup tables (Expense Category, Expense Subcategory, Payment Method, Currency, Cost Center), tbl_SupplierMaster (12_Suppliers), RAW_Variants / RAW_Collections (live Shopify SKUs/collections).</t>
        </is>
      </c>
    </row>
    <row r="6" hidden="1" outlineLevel="1" ht="13" customHeight="1">
      <c r="A6" s="4" t="inlineStr">
        <is>
          <t>Output tables</t>
        </is>
      </c>
      <c r="B6" s="5" t="inlineStr">
        <is>
          <t>FACT_ManualExpenses (Data Model-ready hidden mirror).</t>
        </is>
      </c>
    </row>
    <row r="7" hidden="1" outlineLevel="1" ht="13" customHeight="1">
      <c r="A7" s="4" t="inlineStr">
        <is>
          <t>Relationships</t>
        </is>
      </c>
      <c r="B7" s="5" t="inlineStr">
        <is>
          <t>Feeds the Data Model as its own fact table, kept structurally separate from Shopify-sourced facts so system-of-record vs. hand-entered data is always distinguishable. Related SKU/Collection dropdowns pull from the live Shopify RAW_ tables, not a separate manual list, so an expense can be tied to real product/collection data. Category list is fully configurable on 15_Settings — nothing is hardcoded.</t>
        </is>
      </c>
    </row>
    <row r="8" hidden="1" outlineLevel="1" ht="13" customHeight="1">
      <c r="A8" s="4" t="inlineStr">
        <is>
          <t>Future data source</t>
        </is>
      </c>
      <c r="B8" s="5" t="inlineStr">
        <is>
          <t>This IS the source — no external system. Document Management: Invoice Number/File Name/File Path/Cloud Link are references only — see passress-mis/PHASE3_DOCUMENTATION.md; a future phase may connect Cloud Link directly to OneDrive/SharePoint.</t>
        </is>
      </c>
    </row>
    <row r="9" hidden="1" outlineLevel="1"/>
    <row r="10" ht="6" customHeight="1"/>
    <row r="11" ht="15" customHeight="1">
      <c r="B11" s="6" t="inlineStr">
        <is>
          <t>EXPENSES MTD</t>
        </is>
      </c>
      <c r="C11" s="7" t="n"/>
      <c r="D11" s="6" t="inlineStr">
        <is>
          <t>EXPENSES YTD</t>
        </is>
      </c>
      <c r="E11" s="7" t="n"/>
      <c r="F11" s="6" t="inlineStr">
        <is>
          <t>LARGEST CATEGORY</t>
        </is>
      </c>
      <c r="G11" s="7" t="n"/>
      <c r="H11" s="6" t="inlineStr">
        <is>
          <t>BUDGET VARIANCE</t>
        </is>
      </c>
      <c r="I11" s="7" t="n"/>
    </row>
    <row r="12" ht="22" customHeight="1">
      <c r="B12" s="9" t="inlineStr">
        <is>
          <t>N/A</t>
        </is>
      </c>
      <c r="C12" s="7" t="n"/>
      <c r="D12" s="9" t="inlineStr">
        <is>
          <t>N/A</t>
        </is>
      </c>
      <c r="E12" s="7" t="n"/>
      <c r="F12" s="9" t="inlineStr">
        <is>
          <t>N/A</t>
        </is>
      </c>
      <c r="G12" s="7" t="n"/>
      <c r="H12" s="18">
        <f>CUBEVALUE("ThisWorkbookDataModel","[Measures].[Expense Actual vs Budget]")</f>
        <v/>
      </c>
      <c r="I12" s="7" t="n"/>
    </row>
    <row r="13" ht="22" customHeight="1">
      <c r="B13" s="7" t="n"/>
      <c r="C13" s="7" t="n"/>
      <c r="D13" s="7" t="n"/>
      <c r="E13" s="7" t="n"/>
      <c r="F13" s="7" t="n"/>
      <c r="G13" s="7" t="n"/>
      <c r="H13" s="7" t="n"/>
      <c r="I13" s="7" t="n"/>
    </row>
    <row r="16">
      <c r="B16" s="37" t="inlineStr">
        <is>
          <t>KNOWN GAPS ON THIS SHEET  (documented, not silently missing)</t>
        </is>
      </c>
    </row>
    <row r="17" ht="24" customHeight="1">
      <c r="B17" s="5" t="inlineStr">
        <is>
          <t>Expenses MTD: dax/MEASURES.md's time-intelligence pattern (§8: MTD/QTD/YTD/Previous Period/SPLY/Rolling) was only instantiated for Net Sales, Gross Profit, Net Profit, and Order Count — an 'Operating Expenses MTD' measure was never written out, though the pattern to add one is documented. Adding it is a new measure, outside this phase's reuse-only scope.</t>
        </is>
      </c>
    </row>
    <row r="18" ht="24" customHeight="1">
      <c r="B18" s="5" t="inlineStr">
        <is>
          <t>Expenses YTD: Same root cause as Expenses MTD above — no YTD variant of [Operating Expenses] exists in dax/MEASURES.md or its addenda.</t>
        </is>
      </c>
    </row>
    <row r="19" ht="24" customHeight="1">
      <c r="B19" s="5" t="inlineStr">
        <is>
          <t>Largest Category: Expense Category is a plain text column on FACT_ManualExpenses, not a Data Model dimension (DIM_Product/DIM_Collection/DIM_Customer/DIM_Location are — Expense Category isn't among them, per dax/README.md's relationship list) — CUBESET/CUBERANKEDMEMBER, the mechanism used everywhere else on this sheet, can only rank members of an actual dimension hierarchy.</t>
        </is>
      </c>
    </row>
    <row r="21">
      <c r="B21" s="11" t="inlineStr">
        <is>
          <t>MANUAL EXPENSE ENTRY  (green cells = type here — Expense ID and Possible Duplicate are automatic)</t>
        </is>
      </c>
    </row>
    <row r="22" ht="18" customHeight="1">
      <c r="B22" s="39" t="inlineStr">
        <is>
          <t>Expense ID</t>
        </is>
      </c>
      <c r="C22" s="39" t="inlineStr">
        <is>
          <t>Expense Date</t>
        </is>
      </c>
      <c r="D22" s="39" t="inlineStr">
        <is>
          <t>Expense Category</t>
        </is>
      </c>
      <c r="E22" s="39" t="inlineStr">
        <is>
          <t>Expense Subcategory</t>
        </is>
      </c>
      <c r="F22" s="39" t="inlineStr">
        <is>
          <t>Supplier</t>
        </is>
      </c>
      <c r="G22" s="39" t="inlineStr">
        <is>
          <t>Amount</t>
        </is>
      </c>
      <c r="H22" s="39" t="inlineStr">
        <is>
          <t>Currency</t>
        </is>
      </c>
      <c r="I22" s="39" t="inlineStr">
        <is>
          <t>Payment Method</t>
        </is>
      </c>
      <c r="J22" s="39" t="inlineStr">
        <is>
          <t>Related Collection</t>
        </is>
      </c>
      <c r="K22" s="39" t="inlineStr">
        <is>
          <t>Related SKU</t>
        </is>
      </c>
      <c r="L22" s="39" t="inlineStr">
        <is>
          <t>Cost Center</t>
        </is>
      </c>
      <c r="M22" s="39" t="inlineStr">
        <is>
          <t>Notes</t>
        </is>
      </c>
      <c r="N22" s="39" t="inlineStr">
        <is>
          <t>Invoice Number</t>
        </is>
      </c>
      <c r="O22" s="39" t="inlineStr">
        <is>
          <t>File Name</t>
        </is>
      </c>
      <c r="P22" s="39" t="inlineStr">
        <is>
          <t>File Path</t>
        </is>
      </c>
      <c r="Q22" s="39" t="inlineStr">
        <is>
          <t>Cloud Link</t>
        </is>
      </c>
      <c r="R22" s="39" t="inlineStr">
        <is>
          <t>Possible Duplicate</t>
        </is>
      </c>
    </row>
    <row r="23">
      <c r="B23" s="30">
        <f>"EXP-"&amp;TEXT(ROW()-22,"00000")</f>
        <v/>
      </c>
      <c r="C23" s="40" t="inlineStr">
        <is>
          <t>2026-01-15</t>
        </is>
      </c>
      <c r="D23" s="40" t="inlineStr">
        <is>
          <t>Rent</t>
        </is>
      </c>
      <c r="E23" s="40" t="inlineStr">
        <is>
          <t>Office</t>
        </is>
      </c>
      <c r="F23" s="40" t="n"/>
      <c r="G23" s="40" t="n">
        <v>15000</v>
      </c>
      <c r="H23" s="40" t="inlineStr">
        <is>
          <t>EGP</t>
        </is>
      </c>
      <c r="I23" s="40" t="inlineStr">
        <is>
          <t>Bank Transfer</t>
        </is>
      </c>
      <c r="J23" s="40" t="n"/>
      <c r="K23" s="40" t="n"/>
      <c r="L23" s="40" t="inlineStr">
        <is>
          <t>Head Office</t>
        </is>
      </c>
      <c r="M23" s="40" t="inlineStr">
        <is>
          <t>EXAMPLE — January office rent</t>
        </is>
      </c>
      <c r="N23" s="40" t="inlineStr">
        <is>
          <t>INV-2026-0001</t>
        </is>
      </c>
      <c r="O23" s="40" t="inlineStr">
        <is>
          <t>jan-rent.pdf</t>
        </is>
      </c>
      <c r="P23" s="40" t="inlineStr">
        <is>
          <t>/Finance/2026/Rent/</t>
        </is>
      </c>
      <c r="Q23" s="40" t="n"/>
      <c r="R23" s="30">
        <f>IF(COUNTIFS(tbl_ManualExpenses[Expense Date],[@[Expense Date]],tbl_ManualExpenses[Supplier],[@Supplier],tbl_ManualExpenses[Amount],[@Amount])&gt;1,"Possible Duplicate","")</f>
        <v/>
      </c>
    </row>
  </sheetData>
  <sheetProtection selectLockedCells="0" selectUnlockedCells="0" sheet="1" objects="0" insertRows="0" insertHyperlinks="1" autoFilter="1" scenarios="0" formatColumns="0" deleteColumns="0" insertColumns="0" pivotTables="0" deleteRows="0" formatCells="0" formatRows="0" sort="1" password="C24F"/>
  <mergeCells count="19">
    <mergeCell ref="B4:R4"/>
    <mergeCell ref="F11:G11"/>
    <mergeCell ref="B7:R7"/>
    <mergeCell ref="D12:E13"/>
    <mergeCell ref="A3:R3"/>
    <mergeCell ref="B18:R18"/>
    <mergeCell ref="H12:I13"/>
    <mergeCell ref="B11:C11"/>
    <mergeCell ref="A2:R2"/>
    <mergeCell ref="D11:E11"/>
    <mergeCell ref="B8:R8"/>
    <mergeCell ref="H11:I11"/>
    <mergeCell ref="B17:R17"/>
    <mergeCell ref="B19:R19"/>
    <mergeCell ref="B12:C13"/>
    <mergeCell ref="F12:G13"/>
    <mergeCell ref="B6:R6"/>
    <mergeCell ref="A1:R1"/>
    <mergeCell ref="B5:R5"/>
  </mergeCells>
  <dataValidations count="8">
    <dataValidation sqref="D23:D501" showDropDown="0" showInputMessage="1" showErrorMessage="1" allowBlank="1" errorTitle="Invalid entry" error="Please choose a value from the Expense Category list — free text isn't accepted here." promptTitle="Expense Category" prompt="Choose from the Expense Category list on 15_Settings." type="list" errorStyle="stop">
      <formula1>=LookupExpenseCategory</formula1>
    </dataValidation>
    <dataValidation sqref="E23:E501" showDropDown="0" showInputMessage="1" showErrorMessage="1" allowBlank="1" errorTitle="Invalid entry" error="Please choose a value from the Expense Subcategory list — free text isn't accepted here." promptTitle="Expense Subcategory" prompt="Choose from the Expense Subcategory list on 15_Settings." type="list" errorStyle="stop">
      <formula1>=LookupExpenseSubcategory</formula1>
    </dataValidation>
    <dataValidation sqref="F23:F501" showDropDown="0" showInputMessage="1" showErrorMessage="1" allowBlank="1" errorTitle="Invalid entry" error="Please choose a value from the Supplier list — free text isn't accepted here." promptTitle="Supplier" prompt="Choose from Supplier Master (12_Suppliers). Leave blank if this expense has no supplier." type="list" errorStyle="stop">
      <formula1>=SupplierNameList</formula1>
    </dataValidation>
    <dataValidation sqref="H23:H501" showDropDown="0" showInputMessage="1" showErrorMessage="1" allowBlank="1" errorTitle="Invalid entry" error="Please choose a value from the Currency list — free text isn't accepted here." promptTitle="Currency" prompt="Choose from the Currency list on 15_Settings." type="list" errorStyle="stop">
      <formula1>=LookupCurrency</formula1>
    </dataValidation>
    <dataValidation sqref="I23:I501" showDropDown="0" showInputMessage="1" showErrorMessage="1" allowBlank="1" errorTitle="Invalid entry" error="Please choose a value from the Payment Method list — free text isn't accepted here." promptTitle="Payment Method" prompt="Choose from the Payment Method list on 15_Settings." type="list" errorStyle="stop">
      <formula1>=LookupPaymentMethod</formula1>
    </dataValidation>
    <dataValidation sqref="J23:J501" showDropDown="0" showInputMessage="1" showErrorMessage="1" allowBlank="1" errorTitle="Invalid entry" error="Please choose a value from the Related Collection (optional) list — free text isn't accepted here." promptTitle="Related Collection (optional)" prompt="Choose a live Shopify collection, or leave blank." type="list" errorStyle="stop">
      <formula1>=CollectionTitleList</formula1>
    </dataValidation>
    <dataValidation sqref="K23:K501" showDropDown="0" showInputMessage="1" showErrorMessage="1" allowBlank="1" errorTitle="Invalid entry" error="Please choose a value from the Related SKU (optional) list — free text isn't accepted here." promptTitle="Related SKU (optional)" prompt="Choose a live Shopify SKU, or leave blank." type="list" errorStyle="stop">
      <formula1>=SKUList</formula1>
    </dataValidation>
    <dataValidation sqref="L23:L501" showDropDown="0" showInputMessage="1" showErrorMessage="1" allowBlank="1" errorTitle="Invalid entry" error="Please choose a value from the Cost Center list — free text isn't accepted here." promptTitle="Cost Center" prompt="Choose from the Cost Center list on 15_Settings." type="list" errorStyle="stop">
      <formula1>=LookupCostCenter</formula1>
    </dataValidation>
  </dataValidation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1.xml><?xml version="1.0" encoding="utf-8"?>
<worksheet xmlns="http://schemas.openxmlformats.org/spreadsheetml/2006/main">
  <sheetPr>
    <tabColor rgb="00375623"/>
    <outlinePr applyStyles="1" summaryBelow="0" summaryRight="1"/>
    <pageSetUpPr/>
  </sheetPr>
  <dimension ref="A1:I21"/>
  <sheetViews>
    <sheetView showGridLines="0" workbookViewId="0">
      <pane ySplit="10" topLeftCell="A11" activePane="bottomLeft" state="frozen"/>
      <selection pane="bottomLeft" activeCell="A1" sqref="A1"/>
    </sheetView>
  </sheetViews>
  <sheetFormatPr baseColWidth="8" defaultRowHeight="15"/>
  <cols>
    <col width="3" customWidth="1" min="1" max="1"/>
    <col width="14" customWidth="1" min="2" max="2"/>
    <col width="12" customWidth="1" min="3" max="3"/>
    <col width="14" customWidth="1" min="4" max="4"/>
    <col width="20" customWidth="1" min="5" max="5"/>
    <col width="14" customWidth="1" min="6" max="6"/>
    <col width="30" customWidth="1" min="7" max="7"/>
    <col width="14" customWidth="1" min="8" max="8"/>
    <col width="16" customWidth="1" min="9" max="9"/>
  </cols>
  <sheetData>
    <row r="1" ht="34" customHeight="1">
      <c r="A1" s="1" t="inlineStr">
        <is>
          <t>Capital</t>
        </is>
      </c>
    </row>
    <row r="2" ht="16" customHeight="1">
      <c r="A2" s="17" t="inlineStr">
        <is>
          <t>PASSRESS MIS   |   Home ▸ Capital</t>
        </is>
      </c>
    </row>
    <row r="3" ht="14" customHeight="1">
      <c r="A3" s="3" t="inlineStr">
        <is>
          <t>Sheet Documentation  (use the  +  outline control at left to expand)</t>
        </is>
      </c>
    </row>
    <row r="4" hidden="1" outlineLevel="1" ht="13" customHeight="1">
      <c r="A4" s="4" t="inlineStr">
        <is>
          <t>Purpose</t>
        </is>
      </c>
      <c r="B4" s="5" t="inlineStr">
        <is>
          <t>Tracks owner capital contributions and withdrawals, and the resulting owner-equity position.</t>
        </is>
      </c>
    </row>
    <row r="5" hidden="1" outlineLevel="1" ht="13" customHeight="1">
      <c r="A5" s="4" t="inlineStr">
        <is>
          <t>Input tables</t>
        </is>
      </c>
      <c r="B5" s="5" t="inlineStr">
        <is>
          <t>15_Settings lookup tables (Owner, Capital Transaction Type).</t>
        </is>
      </c>
    </row>
    <row r="6" hidden="1" outlineLevel="1" ht="13" customHeight="1">
      <c r="A6" s="4" t="inlineStr">
        <is>
          <t>Output tables</t>
        </is>
      </c>
      <c r="B6" s="5" t="inlineStr">
        <is>
          <t>FACT_CapitalTransactions (Data Model-ready hidden mirror).</t>
        </is>
      </c>
    </row>
    <row r="7" hidden="1" outlineLevel="1" ht="13" customHeight="1">
      <c r="A7" s="4" t="inlineStr">
        <is>
          <t>Relationships</t>
        </is>
      </c>
      <c r="B7" s="5" t="inlineStr">
        <is>
          <t>The only source that grows/shrinks Capital Invested and Owner Equity in future financial calculations. Owner and Transaction Type are both configurable lookups on 15_Settings, not hardcoded.</t>
        </is>
      </c>
    </row>
    <row r="8" hidden="1" outlineLevel="1" ht="13" customHeight="1">
      <c r="A8" s="4" t="inlineStr">
        <is>
          <t>Future data source</t>
        </is>
      </c>
      <c r="B8" s="5" t="inlineStr">
        <is>
          <t>This IS the source — no external system. Manual entry only.</t>
        </is>
      </c>
    </row>
    <row r="9" hidden="1" outlineLevel="1"/>
    <row r="10" ht="6" customHeight="1"/>
    <row r="11" ht="15" customHeight="1">
      <c r="B11" s="6" t="inlineStr">
        <is>
          <t>CAPITAL INVESTED</t>
        </is>
      </c>
      <c r="C11" s="7" t="n"/>
      <c r="D11" s="6" t="inlineStr">
        <is>
          <t>OWNER WITHDRAWALS</t>
        </is>
      </c>
      <c r="E11" s="7" t="n"/>
      <c r="F11" s="6" t="inlineStr">
        <is>
          <t>NET OWNER EQUITY</t>
        </is>
      </c>
      <c r="G11" s="7" t="n"/>
      <c r="H11" s="6" t="inlineStr">
        <is>
          <t>YTD MOVEMENT</t>
        </is>
      </c>
      <c r="I11" s="7" t="n"/>
    </row>
    <row r="12" ht="22" customHeight="1">
      <c r="B12" s="18">
        <f>CUBEVALUE("ThisWorkbookDataModel","[Measures].[Capital Invested (Cumulative)]")</f>
        <v/>
      </c>
      <c r="C12" s="7" t="n"/>
      <c r="D12" s="18">
        <f>CUBEVALUE("ThisWorkbookDataModel","[Measures].[Capital Withdrawals (Period)]")</f>
        <v/>
      </c>
      <c r="E12" s="7" t="n"/>
      <c r="F12" s="18">
        <f>CUBEVALUE("ThisWorkbookDataModel","[Measures].[Equity]")</f>
        <v/>
      </c>
      <c r="G12" s="7" t="n"/>
      <c r="H12" s="9" t="inlineStr">
        <is>
          <t>N/A</t>
        </is>
      </c>
      <c r="I12" s="7" t="n"/>
    </row>
    <row r="13" ht="22" customHeight="1">
      <c r="B13" s="7" t="n"/>
      <c r="C13" s="7" t="n"/>
      <c r="D13" s="7" t="n"/>
      <c r="E13" s="7" t="n"/>
      <c r="F13" s="7" t="n"/>
      <c r="G13" s="7" t="n"/>
      <c r="H13" s="7" t="n"/>
      <c r="I13" s="7" t="n"/>
    </row>
    <row r="16">
      <c r="B16" s="37" t="inlineStr">
        <is>
          <t>KNOWN GAPS ON THIS SHEET  (documented, not silently missing)</t>
        </is>
      </c>
    </row>
    <row r="17" ht="24" customHeight="1">
      <c r="B17" s="5" t="inlineStr">
        <is>
          <t>YTD Movement: dax/MEASURES.md defines [Net Capital (Period)] and [Capital Invested (Cumulative)] (all-time, since inception) but no YTD-specific variant — the §8 time-intelligence pattern (TOTALYTD, etc.) was only instantiated for Net Sales/Gross Profit/Net Profit/Order Count, not Net Capital. Adding a 'Net Capital YTD' measure is outside this phase's reuse-only scope.</t>
        </is>
      </c>
    </row>
    <row r="19">
      <c r="B19" s="11" t="inlineStr">
        <is>
          <t>CAPITAL TRANSACTIONS  (green cells = type here — Capital ID and Possible Duplicate are automatic)</t>
        </is>
      </c>
    </row>
    <row r="20" ht="18" customHeight="1">
      <c r="B20" s="39" t="inlineStr">
        <is>
          <t>Capital ID</t>
        </is>
      </c>
      <c r="C20" s="39" t="inlineStr">
        <is>
          <t>Date</t>
        </is>
      </c>
      <c r="D20" s="39" t="inlineStr">
        <is>
          <t>Owner</t>
        </is>
      </c>
      <c r="E20" s="39" t="inlineStr">
        <is>
          <t>Transaction Type</t>
        </is>
      </c>
      <c r="F20" s="39" t="inlineStr">
        <is>
          <t>Amount</t>
        </is>
      </c>
      <c r="G20" s="39" t="inlineStr">
        <is>
          <t>Notes</t>
        </is>
      </c>
      <c r="H20" s="39" t="inlineStr">
        <is>
          <t>Entered By</t>
        </is>
      </c>
      <c r="I20" s="39" t="inlineStr">
        <is>
          <t>Possible Duplicate</t>
        </is>
      </c>
    </row>
    <row r="21">
      <c r="B21" s="30">
        <f>"CAP-"&amp;TEXT(ROW()-20,"00000")</f>
        <v/>
      </c>
      <c r="C21" s="40" t="inlineStr">
        <is>
          <t>2026-01-01</t>
        </is>
      </c>
      <c r="D21" s="40" t="inlineStr">
        <is>
          <t>Founder</t>
        </is>
      </c>
      <c r="E21" s="40" t="inlineStr">
        <is>
          <t>Capital Contribution</t>
        </is>
      </c>
      <c r="F21" s="40" t="n">
        <v>50000</v>
      </c>
      <c r="G21" s="40" t="inlineStr">
        <is>
          <t>EXAMPLE — founder capital injection</t>
        </is>
      </c>
      <c r="H21" s="40" t="inlineStr">
        <is>
          <t>Founder</t>
        </is>
      </c>
      <c r="I21" s="30">
        <f>IF(COUNTIFS(tbl_CapitalTransactions[Date],[@Date],tbl_CapitalTransactions[Owner],[@Owner],tbl_CapitalTransactions[Amount],[@Amount])&gt;1,"Possible Duplicate","")</f>
        <v/>
      </c>
    </row>
  </sheetData>
  <sheetProtection selectLockedCells="0" selectUnlockedCells="0" sheet="1" objects="0" insertRows="0" insertHyperlinks="1" autoFilter="1" scenarios="0" formatColumns="0" deleteColumns="0" insertColumns="0" pivotTables="0" deleteRows="0" formatCells="0" formatRows="0" sort="1" password="C24F"/>
  <mergeCells count="17">
    <mergeCell ref="B12:C13"/>
    <mergeCell ref="F11:G11"/>
    <mergeCell ref="H11:I11"/>
    <mergeCell ref="A2:I2"/>
    <mergeCell ref="H12:I13"/>
    <mergeCell ref="F12:G13"/>
    <mergeCell ref="B7:I7"/>
    <mergeCell ref="B11:C11"/>
    <mergeCell ref="B6:I6"/>
    <mergeCell ref="D11:E11"/>
    <mergeCell ref="D12:E13"/>
    <mergeCell ref="A1:I1"/>
    <mergeCell ref="B5:I5"/>
    <mergeCell ref="A3:I3"/>
    <mergeCell ref="B8:I8"/>
    <mergeCell ref="B4:I4"/>
    <mergeCell ref="B17:I17"/>
  </mergeCells>
  <dataValidations count="2">
    <dataValidation sqref="D21:D501" showDropDown="0" showInputMessage="1" showErrorMessage="1" allowBlank="1" errorTitle="Invalid entry" error="Please choose a value from the Owner list — free text isn't accepted here." promptTitle="Owner" prompt="Choose from the Owner list on 15_Settings." type="list" errorStyle="stop">
      <formula1>=LookupOwner</formula1>
    </dataValidation>
    <dataValidation sqref="E21:E501" showDropDown="0" showInputMessage="1" showErrorMessage="1" allowBlank="1" errorTitle="Invalid entry" error="Please choose a value from the Transaction Type list — free text isn't accepted here." promptTitle="Transaction Type" prompt="Capital Contribution or Capital Withdrawal — from the list on 15_Settings." type="list" errorStyle="stop">
      <formula1>=LookupCapitalTransactionType</formula1>
    </dataValidation>
  </dataValidation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2.xml><?xml version="1.0" encoding="utf-8"?>
<worksheet xmlns="http://schemas.openxmlformats.org/spreadsheetml/2006/main">
  <sheetPr>
    <tabColor rgb="00375623"/>
    <outlinePr applyStyles="1" summaryBelow="0" summaryRight="1"/>
    <pageSetUpPr/>
  </sheetPr>
  <dimension ref="A1:K36"/>
  <sheetViews>
    <sheetView showGridLines="0" workbookViewId="0">
      <pane ySplit="10" topLeftCell="A11" activePane="bottomLeft" state="frozen"/>
      <selection pane="bottomLeft" activeCell="A1" sqref="A1"/>
    </sheetView>
  </sheetViews>
  <sheetFormatPr baseColWidth="8" defaultRowHeight="15"/>
  <cols>
    <col width="3" customWidth="1" min="1" max="1"/>
    <col width="14" customWidth="1" min="2" max="2"/>
    <col width="20" customWidth="1" min="3" max="3"/>
    <col width="14" customWidth="1" min="4" max="4"/>
    <col width="14" customWidth="1" min="5" max="5"/>
    <col width="22" customWidth="1" min="6" max="6"/>
    <col width="10" customWidth="1" min="7" max="7"/>
    <col width="16" customWidth="1" min="8" max="8"/>
    <col width="12" customWidth="1" min="9" max="9"/>
    <col width="26" customWidth="1" min="10" max="10"/>
  </cols>
  <sheetData>
    <row r="1" ht="34" customHeight="1">
      <c r="A1" s="1" t="inlineStr">
        <is>
          <t>Suppliers</t>
        </is>
      </c>
    </row>
    <row r="2" ht="16" customHeight="1">
      <c r="A2" s="17" t="inlineStr">
        <is>
          <t>PASSRESS MIS   |   Home ▸ Suppliers</t>
        </is>
      </c>
    </row>
    <row r="3" ht="14" customHeight="1">
      <c r="A3" s="3" t="inlineStr">
        <is>
          <t>Sheet Documentation  (use the  +  outline control at left to expand)</t>
        </is>
      </c>
    </row>
    <row r="4" hidden="1" outlineLevel="1" ht="13" customHeight="1">
      <c r="A4" s="4" t="inlineStr">
        <is>
          <t>Purpose</t>
        </is>
      </c>
      <c r="B4" s="5" t="inlineStr">
        <is>
          <t>Supplier master data and the complete purchasing engine: Purchase Order Header, Purchase Order Lines, and Goods Receipt, with a Draft-through-Closed status workflow.</t>
        </is>
      </c>
    </row>
    <row r="5" hidden="1" outlineLevel="1" ht="13" customHeight="1">
      <c r="A5" s="4" t="inlineStr">
        <is>
          <t>Input tables</t>
        </is>
      </c>
      <c r="B5" s="5" t="inlineStr">
        <is>
          <t>15_Settings lookup tables (Supplier Type, Supplier Status, Currency, PO Status, Warehouse), RAW_Variants (live Shopify SKUs).</t>
        </is>
      </c>
    </row>
    <row r="6" hidden="1" outlineLevel="1" ht="13" customHeight="1">
      <c r="A6" s="4" t="inlineStr">
        <is>
          <t>Output tables</t>
        </is>
      </c>
      <c r="B6" s="5" t="inlineStr">
        <is>
          <t>DIM_Supplier, FACT_PurchaseOrderHeader, FACT_PurchaseOrderLines, FACT_GoodsReceipt (Data Model-ready hidden mirrors).</t>
        </is>
      </c>
    </row>
    <row r="7" hidden="1" outlineLevel="1" ht="13" customHeight="1">
      <c r="A7" s="4" t="inlineStr">
        <is>
          <t>Relationships</t>
        </is>
      </c>
      <c r="B7" s="5" t="inlineStr">
        <is>
          <t>PO Lines and Goods Receipt both key on PO Number (from PO Header) and SKU (from the live Shopify variant list), not a separate manual product list. Goods Receipt's Remaining Quantity and Variance from PO are computed by looking up PO Lines for the same PO Number + SKU.</t>
        </is>
      </c>
    </row>
    <row r="8" hidden="1" outlineLevel="1" ht="13" customHeight="1">
      <c r="A8" s="4" t="inlineStr">
        <is>
          <t>Future data source</t>
        </is>
      </c>
      <c r="B8" s="5" t="inlineStr">
        <is>
          <t>This IS the source today. Candidate for supplier-portal or accounting-system integration later (see Future Integrations in the Phase 0 architecture).</t>
        </is>
      </c>
    </row>
    <row r="9" hidden="1" outlineLevel="1"/>
    <row r="10" ht="6" customHeight="1"/>
    <row r="11" ht="15" customHeight="1">
      <c r="B11" s="6" t="inlineStr">
        <is>
          <t>ACTIVE SUPPLIERS</t>
        </is>
      </c>
      <c r="C11" s="7" t="n"/>
      <c r="D11" s="6" t="inlineStr">
        <is>
          <t>OPEN POS</t>
        </is>
      </c>
      <c r="E11" s="7" t="n"/>
      <c r="F11" s="6" t="inlineStr">
        <is>
          <t>PURCHASES YTD</t>
        </is>
      </c>
      <c r="G11" s="7" t="n"/>
      <c r="H11" s="6" t="inlineStr">
        <is>
          <t>OUTSTANDING RECEIPTS</t>
        </is>
      </c>
      <c r="I11" s="7" t="n"/>
    </row>
    <row r="12" ht="22" customHeight="1">
      <c r="B12" s="18">
        <f>COUNTIFS(tbl_SupplierMaster[Status],"Active")</f>
        <v/>
      </c>
      <c r="C12" s="7" t="n"/>
      <c r="D12" s="18">
        <f>COUNTIFS(tbl_POHeader[Status],"&lt;&gt;Closed",tbl_POHeader[Status],"&lt;&gt;Cancelled")</f>
        <v/>
      </c>
      <c r="E12" s="7" t="n"/>
      <c r="F12" s="9" t="inlineStr">
        <is>
          <t>N/A</t>
        </is>
      </c>
      <c r="G12" s="7" t="n"/>
      <c r="H12" s="18">
        <f>SUM(tbl_GoodsReceipt[Remaining Quantity])</f>
        <v/>
      </c>
      <c r="I12" s="7" t="n"/>
    </row>
    <row r="13" ht="22" customHeight="1">
      <c r="B13" s="7" t="n"/>
      <c r="C13" s="7" t="n"/>
      <c r="D13" s="7" t="n"/>
      <c r="E13" s="7" t="n"/>
      <c r="F13" s="7" t="n"/>
      <c r="G13" s="7" t="n"/>
      <c r="H13" s="7" t="n"/>
      <c r="I13" s="7" t="n"/>
    </row>
    <row r="16">
      <c r="B16" s="37" t="inlineStr">
        <is>
          <t>KNOWN GAPS ON THIS SHEET  (documented, not silently missing)</t>
        </is>
      </c>
    </row>
    <row r="17" ht="24" customHeight="1">
      <c r="B17" s="5" t="inlineStr">
        <is>
          <t>Purchases YTD: dax/MEASURES.md defines [Cash Paid for Purchases] (period-aggregate, driven by whatever filter context a report provides) but no YTD-specific variant — the §8 time-intelligence pattern was only instantiated for Net Sales/Gross Profit/Net Profit/Order Count. A worksheet SUMIFS reimplementing a Jan-1-to-today window against tbl_GoodsReceipt directly would be new logic, not a reuse of an existing formula or measure, so it wasn't added.</t>
        </is>
      </c>
    </row>
    <row r="19">
      <c r="B19" s="11" t="inlineStr">
        <is>
          <t>SUPPLIER MASTER  (green cells = type here — Supplier ID is automatic)</t>
        </is>
      </c>
    </row>
    <row r="20" ht="18" customHeight="1">
      <c r="B20" s="39" t="inlineStr">
        <is>
          <t>Supplier ID</t>
        </is>
      </c>
      <c r="C20" s="39" t="inlineStr">
        <is>
          <t>Supplier Name</t>
        </is>
      </c>
      <c r="D20" s="39" t="inlineStr">
        <is>
          <t>Supplier Type</t>
        </is>
      </c>
      <c r="E20" s="39" t="inlineStr">
        <is>
          <t>Contact Person</t>
        </is>
      </c>
      <c r="F20" s="39" t="inlineStr">
        <is>
          <t>Phone</t>
        </is>
      </c>
      <c r="G20" s="39" t="inlineStr">
        <is>
          <t>Email</t>
        </is>
      </c>
      <c r="H20" s="39" t="inlineStr">
        <is>
          <t>Currency</t>
        </is>
      </c>
      <c r="I20" s="39" t="inlineStr">
        <is>
          <t>Payment Terms</t>
        </is>
      </c>
      <c r="J20" s="39" t="inlineStr">
        <is>
          <t>Status</t>
        </is>
      </c>
      <c r="K20" s="39" t="inlineStr">
        <is>
          <t>Notes</t>
        </is>
      </c>
    </row>
    <row r="21">
      <c r="B21" s="30">
        <f>"SUP-"&amp;TEXT(ROW()-20,"00000")</f>
        <v/>
      </c>
      <c r="C21" s="40" t="inlineStr">
        <is>
          <t>EXAMPLE — ABC Textiles</t>
        </is>
      </c>
      <c r="D21" s="40" t="inlineStr">
        <is>
          <t>Fabric</t>
        </is>
      </c>
      <c r="E21" s="40" t="inlineStr">
        <is>
          <t>Mona Ahmed</t>
        </is>
      </c>
      <c r="F21" s="40" t="inlineStr">
        <is>
          <t>+20 100 000 0000</t>
        </is>
      </c>
      <c r="G21" s="40" t="inlineStr">
        <is>
          <t>contact@example.com</t>
        </is>
      </c>
      <c r="H21" s="40" t="inlineStr">
        <is>
          <t>EGP</t>
        </is>
      </c>
      <c r="I21" s="40" t="inlineStr">
        <is>
          <t>Net 30</t>
        </is>
      </c>
      <c r="J21" s="40" t="inlineStr">
        <is>
          <t>Active</t>
        </is>
      </c>
      <c r="K21" s="40" t="n"/>
    </row>
    <row r="24">
      <c r="B24" s="11" t="inlineStr">
        <is>
          <t>PURCHASE ORDER HEADER  (green cells = type here — PO Number is automatic)</t>
        </is>
      </c>
    </row>
    <row r="25" ht="18" customHeight="1">
      <c r="B25" s="39" t="inlineStr">
        <is>
          <t>PO Number</t>
        </is>
      </c>
      <c r="C25" s="39" t="inlineStr">
        <is>
          <t>Supplier</t>
        </is>
      </c>
      <c r="D25" s="39" t="inlineStr">
        <is>
          <t>Order Date</t>
        </is>
      </c>
      <c r="E25" s="39" t="inlineStr">
        <is>
          <t>Expected Delivery Date</t>
        </is>
      </c>
      <c r="F25" s="39" t="inlineStr">
        <is>
          <t>Status</t>
        </is>
      </c>
      <c r="G25" s="39" t="inlineStr">
        <is>
          <t>Currency</t>
        </is>
      </c>
      <c r="H25" s="39" t="inlineStr">
        <is>
          <t>Notes</t>
        </is>
      </c>
    </row>
    <row r="26">
      <c r="B26" s="30">
        <f>"PO-"&amp;TEXT(ROW()-25,"00000")</f>
        <v/>
      </c>
      <c r="C26" s="40" t="inlineStr">
        <is>
          <t>EXAMPLE — ABC Textiles</t>
        </is>
      </c>
      <c r="D26" s="40" t="inlineStr">
        <is>
          <t>2026-01-10</t>
        </is>
      </c>
      <c r="E26" s="40" t="inlineStr">
        <is>
          <t>2026-01-24</t>
        </is>
      </c>
      <c r="F26" s="40" t="inlineStr">
        <is>
          <t>Draft</t>
        </is>
      </c>
      <c r="G26" s="40" t="inlineStr">
        <is>
          <t>EGP</t>
        </is>
      </c>
      <c r="H26" s="40" t="n"/>
    </row>
    <row r="29">
      <c r="B29" s="11" t="inlineStr">
        <is>
          <t>PURCHASE ORDER LINES  (green cells = type here — Total Cost is automatic)</t>
        </is>
      </c>
    </row>
    <row r="30" ht="18" customHeight="1">
      <c r="B30" s="39" t="inlineStr">
        <is>
          <t>PO Number</t>
        </is>
      </c>
      <c r="C30" s="39" t="inlineStr">
        <is>
          <t>SKU</t>
        </is>
      </c>
      <c r="D30" s="39" t="inlineStr">
        <is>
          <t>Quantity Ordered</t>
        </is>
      </c>
      <c r="E30" s="39" t="inlineStr">
        <is>
          <t>Unit Cost</t>
        </is>
      </c>
      <c r="F30" s="39" t="inlineStr">
        <is>
          <t>Total Cost</t>
        </is>
      </c>
    </row>
    <row r="31">
      <c r="B31" s="40" t="n"/>
      <c r="C31" s="40" t="n"/>
      <c r="D31" s="40" t="n">
        <v>50</v>
      </c>
      <c r="E31" s="40" t="n">
        <v>120</v>
      </c>
      <c r="F31" s="30">
        <f>[@[Quantity Ordered]]*[@[Unit Cost]]</f>
        <v/>
      </c>
    </row>
    <row r="34">
      <c r="B34" s="11" t="inlineStr">
        <is>
          <t>GOODS RECEIPT  (green cells = type here — Remaining Quantity and Variance from PO are automatic)</t>
        </is>
      </c>
    </row>
    <row r="35" ht="18" customHeight="1">
      <c r="B35" s="39" t="inlineStr">
        <is>
          <t>PO Number</t>
        </is>
      </c>
      <c r="C35" s="39" t="inlineStr">
        <is>
          <t>SKU</t>
        </is>
      </c>
      <c r="D35" s="39" t="inlineStr">
        <is>
          <t>Goods Received Date</t>
        </is>
      </c>
      <c r="E35" s="39" t="inlineStr">
        <is>
          <t>Quantity Received</t>
        </is>
      </c>
      <c r="F35" s="39" t="inlineStr">
        <is>
          <t>Remaining Quantity</t>
        </is>
      </c>
      <c r="G35" s="39" t="inlineStr">
        <is>
          <t>Actual Unit Cost</t>
        </is>
      </c>
      <c r="H35" s="39" t="inlineStr">
        <is>
          <t>Variance from PO</t>
        </is>
      </c>
      <c r="I35" s="39" t="inlineStr">
        <is>
          <t>Warehouse</t>
        </is>
      </c>
      <c r="J35" s="39" t="inlineStr">
        <is>
          <t>Receiver</t>
        </is>
      </c>
    </row>
    <row r="36">
      <c r="B36" s="40" t="n"/>
      <c r="C36" s="40" t="n"/>
      <c r="D36" s="40" t="inlineStr">
        <is>
          <t>2026-01-20</t>
        </is>
      </c>
      <c r="E36" s="40" t="n">
        <v>30</v>
      </c>
      <c r="F36" s="30">
        <f>SUMIFS(tbl_POLines[Quantity Ordered],tbl_POLines[PO Number],[@[PO Number]],tbl_POLines[SKU],[@SKU])-SUMIFS(tbl_GoodsReceipt[Quantity Received],tbl_GoodsReceipt[PO Number],[@[PO Number]],tbl_GoodsReceipt[SKU],[@SKU])</f>
        <v/>
      </c>
      <c r="G36" s="40" t="n">
        <v>122</v>
      </c>
      <c r="H36" s="30">
        <f>[@[Actual Unit Cost]]-SUMIFS(tbl_POLines[Unit Cost],tbl_POLines[PO Number],[@[PO Number]],tbl_POLines[SKU],[@SKU])</f>
        <v/>
      </c>
      <c r="I36" s="40" t="inlineStr">
        <is>
          <t>Main Warehouse</t>
        </is>
      </c>
      <c r="J36" s="40" t="n"/>
    </row>
  </sheetData>
  <sheetProtection selectLockedCells="0" selectUnlockedCells="0" sheet="1" objects="0" insertRows="0" insertHyperlinks="1" autoFilter="1" scenarios="0" formatColumns="0" deleteColumns="0" insertColumns="0" pivotTables="0" deleteRows="0" formatCells="0" formatRows="0" sort="1" password="C24F"/>
  <mergeCells count="17">
    <mergeCell ref="B7:J7"/>
    <mergeCell ref="A1:J1"/>
    <mergeCell ref="B12:C13"/>
    <mergeCell ref="F11:G11"/>
    <mergeCell ref="B5:J5"/>
    <mergeCell ref="H11:I11"/>
    <mergeCell ref="F12:G13"/>
    <mergeCell ref="B11:C11"/>
    <mergeCell ref="H12:I13"/>
    <mergeCell ref="D11:E11"/>
    <mergeCell ref="A3:J3"/>
    <mergeCell ref="D12:E13"/>
    <mergeCell ref="B17:J17"/>
    <mergeCell ref="B8:J8"/>
    <mergeCell ref="B4:J4"/>
    <mergeCell ref="A2:J2"/>
    <mergeCell ref="B6:J6"/>
  </mergeCells>
  <dataValidations count="11">
    <dataValidation sqref="D21:D501" showDropDown="0" showInputMessage="1" showErrorMessage="1" allowBlank="1" errorTitle="Invalid entry" error="Please choose a value from the Supplier Type list — free text isn't accepted here." promptTitle="Supplier Type" prompt="Choose from the Supplier Type list on 15_Settings." type="list" errorStyle="stop">
      <formula1>=LookupSupplierType</formula1>
    </dataValidation>
    <dataValidation sqref="H21:H501" showDropDown="0" showInputMessage="1" showErrorMessage="1" allowBlank="1" errorTitle="Invalid entry" error="Please choose a value from the Currency list — free text isn't accepted here." promptTitle="Currency" prompt="Choose from the Currency list on 15_Settings." type="list" errorStyle="stop">
      <formula1>=LookupCurrency</formula1>
    </dataValidation>
    <dataValidation sqref="J21:J501" showDropDown="0" showInputMessage="1" showErrorMessage="1" allowBlank="1" errorTitle="Invalid entry" error="Please choose a value from the Status list — free text isn't accepted here." promptTitle="Status" prompt="Choose from the Supplier Status list on 15_Settings." type="list" errorStyle="stop">
      <formula1>=LookupSupplierStatus</formula1>
    </dataValidation>
    <dataValidation sqref="C26:C501" showDropDown="0" showInputMessage="1" showErrorMessage="1" allowBlank="1" errorTitle="Invalid entry" error="Please choose a value from the Supplier list — free text isn't accepted here." promptTitle="Supplier" prompt="Choose from Supplier Master (this sheet, above)." type="list" errorStyle="stop">
      <formula1>=SupplierNameList</formula1>
    </dataValidation>
    <dataValidation sqref="F26:F501" showDropDown="0" showInputMessage="1" showErrorMessage="1" allowBlank="1" errorTitle="Invalid entry" error="Please choose a value from the Status list — free text isn't accepted here." promptTitle="Status" prompt="Draft → Approved → Sent → Partially Received → Received → Closed, or Cancelled at any point." type="list" errorStyle="stop">
      <formula1>=LookupPOStatus</formula1>
    </dataValidation>
    <dataValidation sqref="G26:G501" showDropDown="0" showInputMessage="1" showErrorMessage="1" allowBlank="1" errorTitle="Invalid entry" error="Please choose a value from the Currency list — free text isn't accepted here." promptTitle="Currency" prompt="Choose from the Currency list on 15_Settings." type="list" errorStyle="stop">
      <formula1>=LookupCurrency</formula1>
    </dataValidation>
    <dataValidation sqref="B31:B501" showDropDown="0" showInputMessage="1" showErrorMessage="1" allowBlank="1" errorTitle="Invalid entry" error="Please choose a value from the PO Number list — free text isn't accepted here." promptTitle="PO Number" prompt="Choose an existing PO Number from Purchase Order Header, above." type="list" errorStyle="stop">
      <formula1>=POHeaderList</formula1>
    </dataValidation>
    <dataValidation sqref="C31:C501" showDropDown="0" showInputMessage="1" showErrorMessage="1" allowBlank="1" errorTitle="Invalid entry" error="Please choose a value from the SKU list — free text isn't accepted here." promptTitle="SKU" prompt="Choose a live Shopify SKU." type="list" errorStyle="stop">
      <formula1>=SKUList</formula1>
    </dataValidation>
    <dataValidation sqref="B36:B501" showDropDown="0" showInputMessage="1" showErrorMessage="1" allowBlank="1" errorTitle="Invalid entry" error="Please choose a value from the PO Number list — free text isn't accepted here." promptTitle="PO Number" prompt="Choose an existing PO Number from Purchase Order Header, above." type="list" errorStyle="stop">
      <formula1>=POHeaderList</formula1>
    </dataValidation>
    <dataValidation sqref="C36:C501" showDropDown="0" showInputMessage="1" showErrorMessage="1" allowBlank="1" errorTitle="Invalid entry" error="Please choose a value from the SKU list — free text isn't accepted here." promptTitle="SKU" prompt="Choose a live Shopify SKU." type="list" errorStyle="stop">
      <formula1>=SKUList</formula1>
    </dataValidation>
    <dataValidation sqref="I36:I501" showDropDown="0" showInputMessage="1" showErrorMessage="1" allowBlank="1" errorTitle="Invalid entry" error="Please choose a value from the Warehouse list — free text isn't accepted here." promptTitle="Warehouse" prompt="Choose from the Warehouse list on 15_Settings." type="list" errorStyle="stop">
      <formula1>=LookupWarehouse</formula1>
    </dataValidation>
  </dataValidations>
  <hyperlinks>
    <hyperlink xmlns:r="http://schemas.openxmlformats.org/officeDocument/2006/relationships" ref="A2" r:id="rId1"/>
  </hyperlinks>
  <pageMargins left="0.75" right="0.75" top="1" bottom="1" header="0.5" footer="0.5"/>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13.xml><?xml version="1.0" encoding="utf-8"?>
<worksheet xmlns="http://schemas.openxmlformats.org/spreadsheetml/2006/main">
  <sheetPr>
    <tabColor rgb="00404040"/>
    <outlinePr applyStyles="1" summaryBelow="0" summaryRight="1"/>
    <pageSetUpPr/>
  </sheetPr>
  <dimension ref="A1:N48"/>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34" customHeight="1">
      <c r="A1" s="1" t="inlineStr">
        <is>
          <t>Marketing</t>
        </is>
      </c>
    </row>
    <row r="2" ht="16" customHeight="1">
      <c r="A2" s="17" t="inlineStr">
        <is>
          <t>PASSRESS MIS   |   Home ▸ Marketing</t>
        </is>
      </c>
    </row>
    <row r="3" ht="14" customHeight="1">
      <c r="A3" s="3" t="inlineStr">
        <is>
          <t>Sheet Documentation  (use the  +  outline control at left to expand)</t>
        </is>
      </c>
    </row>
    <row r="4" hidden="1" outlineLevel="1" ht="13" customHeight="1">
      <c r="A4" s="4" t="inlineStr">
        <is>
          <t>Purpose</t>
        </is>
      </c>
      <c r="B4" s="5" t="inlineStr">
        <is>
          <t>Campaign and discount-code performance tracking; future home for ad-spend ROAS once integrated.</t>
        </is>
      </c>
    </row>
    <row r="5" hidden="1" outlineLevel="1" ht="13" customHeight="1">
      <c r="A5" s="4" t="inlineStr">
        <is>
          <t>Input tables</t>
        </is>
      </c>
      <c r="B5" s="5" t="inlineStr">
        <is>
          <t>DIM_Collection, FACT_OrderLines (discount amounts). Future: FACT_MarketingSpend.</t>
        </is>
      </c>
    </row>
    <row r="6" hidden="1" outlineLevel="1" ht="13" customHeight="1">
      <c r="A6" s="4" t="inlineStr">
        <is>
          <t>Output tables</t>
        </is>
      </c>
      <c r="B6" s="5" t="inlineStr">
        <is>
          <t>Marketing KPI row, Discount Trend chart. Campaign Performance / Discount Code Usage remain undocumented gaps (no Campaign dimension in the Data Model).</t>
        </is>
      </c>
    </row>
    <row r="7" hidden="1" outlineLevel="1" ht="13" customHeight="1">
      <c r="A7" s="4" t="inlineStr">
        <is>
          <t>Relationships</t>
        </is>
      </c>
      <c r="B7" s="5" t="inlineStr">
        <is>
          <t>FACT_OrderLines[DiscountAmount] rolls up via the existing [Discounts] measure.</t>
        </is>
      </c>
    </row>
    <row r="8" hidden="1" outlineLevel="1" ht="13" customHeight="1">
      <c r="A8" s="4" t="inlineStr">
        <is>
          <t>Future data source</t>
        </is>
      </c>
      <c r="B8" s="5" t="inlineStr">
        <is>
          <t>Live now: Total Discount Given / Discount Trend read dax/MEASURES.md's [Discounts] directly. Meta/TikTok Ads API — future integration, still not connected (Marketing-Ready Layer, Phase 5).</t>
        </is>
      </c>
    </row>
    <row r="9" hidden="1" outlineLevel="1"/>
    <row r="10" ht="6" customHeight="1"/>
    <row r="11" ht="15" customHeight="1">
      <c r="B11" s="6" t="inlineStr">
        <is>
          <t>TOTAL DISCOUNT GIVEN</t>
        </is>
      </c>
      <c r="C11" s="7" t="n"/>
      <c r="D11" s="6" t="inlineStr">
        <is>
          <t>ACTIVE CAMPAIGNS</t>
        </is>
      </c>
      <c r="E11" s="7" t="n"/>
      <c r="F11" s="6" t="inlineStr">
        <is>
          <t>DISCOUNT RATE %</t>
        </is>
      </c>
      <c r="G11" s="7" t="n"/>
      <c r="H11" s="6" t="inlineStr">
        <is>
          <t>ROAS (FUTURE)</t>
        </is>
      </c>
      <c r="I11" s="7" t="n"/>
    </row>
    <row r="12" ht="22" customHeight="1">
      <c r="B12" s="18">
        <f>CUBEVALUE("ThisWorkbookDataModel","[Measures].[Discounts]")</f>
        <v/>
      </c>
      <c r="C12" s="7" t="n"/>
      <c r="D12" s="9" t="inlineStr">
        <is>
          <t>N/A</t>
        </is>
      </c>
      <c r="E12" s="7" t="n"/>
      <c r="F12" s="9" t="inlineStr">
        <is>
          <t>N/A</t>
        </is>
      </c>
      <c r="G12" s="7" t="n"/>
      <c r="H12" s="9" t="inlineStr">
        <is>
          <t>N/A</t>
        </is>
      </c>
      <c r="I12" s="7" t="n"/>
    </row>
    <row r="13" ht="22" customHeight="1">
      <c r="B13" s="7" t="n"/>
      <c r="C13" s="7" t="n"/>
      <c r="D13" s="7" t="n"/>
      <c r="E13" s="7" t="n"/>
      <c r="F13" s="7" t="n"/>
      <c r="G13" s="7" t="n"/>
      <c r="H13" s="7" t="n"/>
      <c r="I13" s="7" t="n"/>
    </row>
    <row r="16">
      <c r="B16" s="11" t="inlineStr">
        <is>
          <t>DISCOUNT TREND</t>
        </is>
      </c>
    </row>
    <row r="17">
      <c r="B17" s="13" t="inlineStr">
        <is>
          <t>Discounts — trailing 12 months</t>
        </is>
      </c>
    </row>
    <row r="18">
      <c r="C18" s="21">
        <f>TEXT(EDATE(TODAY(),-11),"mmm-yy")</f>
        <v/>
      </c>
      <c r="D18" s="21">
        <f>TEXT(EDATE(TODAY(),-10),"mmm-yy")</f>
        <v/>
      </c>
      <c r="E18" s="21">
        <f>TEXT(EDATE(TODAY(),-9),"mmm-yy")</f>
        <v/>
      </c>
      <c r="F18" s="21">
        <f>TEXT(EDATE(TODAY(),-8),"mmm-yy")</f>
        <v/>
      </c>
      <c r="G18" s="21">
        <f>TEXT(EDATE(TODAY(),-7),"mmm-yy")</f>
        <v/>
      </c>
      <c r="H18" s="21">
        <f>TEXT(EDATE(TODAY(),-6),"mmm-yy")</f>
        <v/>
      </c>
      <c r="I18" s="21">
        <f>TEXT(EDATE(TODAY(),-5),"mmm-yy")</f>
        <v/>
      </c>
      <c r="J18" s="21">
        <f>TEXT(EDATE(TODAY(),-4),"mmm-yy")</f>
        <v/>
      </c>
      <c r="K18" s="21">
        <f>TEXT(EDATE(TODAY(),-3),"mmm-yy")</f>
        <v/>
      </c>
      <c r="L18" s="21">
        <f>TEXT(EDATE(TODAY(),-2),"mmm-yy")</f>
        <v/>
      </c>
      <c r="M18" s="21">
        <f>TEXT(EDATE(TODAY(),-1),"mmm-yy")</f>
        <v/>
      </c>
      <c r="N18" s="21">
        <f>TEXT(EDATE(TODAY(),0),"mmm-yy")</f>
        <v/>
      </c>
    </row>
    <row r="19">
      <c r="C19" s="22">
        <f>CUBEVALUE("ThisWorkbookDataModel","[Measures].[Discounts]","[DIM_Date].[Year].&amp;["&amp;YEAR(EDATE(TODAY(),-11))&amp;"]","[DIM_Date].[Month].&amp;["&amp;MONTH(EDATE(TODAY(),-11))&amp;"]")</f>
        <v/>
      </c>
      <c r="D19" s="22">
        <f>CUBEVALUE("ThisWorkbookDataModel","[Measures].[Discounts]","[DIM_Date].[Year].&amp;["&amp;YEAR(EDATE(TODAY(),-10))&amp;"]","[DIM_Date].[Month].&amp;["&amp;MONTH(EDATE(TODAY(),-10))&amp;"]")</f>
        <v/>
      </c>
      <c r="E19" s="22">
        <f>CUBEVALUE("ThisWorkbookDataModel","[Measures].[Discounts]","[DIM_Date].[Year].&amp;["&amp;YEAR(EDATE(TODAY(),-9))&amp;"]","[DIM_Date].[Month].&amp;["&amp;MONTH(EDATE(TODAY(),-9))&amp;"]")</f>
        <v/>
      </c>
      <c r="F19" s="22">
        <f>CUBEVALUE("ThisWorkbookDataModel","[Measures].[Discounts]","[DIM_Date].[Year].&amp;["&amp;YEAR(EDATE(TODAY(),-8))&amp;"]","[DIM_Date].[Month].&amp;["&amp;MONTH(EDATE(TODAY(),-8))&amp;"]")</f>
        <v/>
      </c>
      <c r="G19" s="22">
        <f>CUBEVALUE("ThisWorkbookDataModel","[Measures].[Discounts]","[DIM_Date].[Year].&amp;["&amp;YEAR(EDATE(TODAY(),-7))&amp;"]","[DIM_Date].[Month].&amp;["&amp;MONTH(EDATE(TODAY(),-7))&amp;"]")</f>
        <v/>
      </c>
      <c r="H19" s="22">
        <f>CUBEVALUE("ThisWorkbookDataModel","[Measures].[Discounts]","[DIM_Date].[Year].&amp;["&amp;YEAR(EDATE(TODAY(),-6))&amp;"]","[DIM_Date].[Month].&amp;["&amp;MONTH(EDATE(TODAY(),-6))&amp;"]")</f>
        <v/>
      </c>
      <c r="I19" s="22">
        <f>CUBEVALUE("ThisWorkbookDataModel","[Measures].[Discounts]","[DIM_Date].[Year].&amp;["&amp;YEAR(EDATE(TODAY(),-5))&amp;"]","[DIM_Date].[Month].&amp;["&amp;MONTH(EDATE(TODAY(),-5))&amp;"]")</f>
        <v/>
      </c>
      <c r="J19" s="22">
        <f>CUBEVALUE("ThisWorkbookDataModel","[Measures].[Discounts]","[DIM_Date].[Year].&amp;["&amp;YEAR(EDATE(TODAY(),-4))&amp;"]","[DIM_Date].[Month].&amp;["&amp;MONTH(EDATE(TODAY(),-4))&amp;"]")</f>
        <v/>
      </c>
      <c r="K19" s="22">
        <f>CUBEVALUE("ThisWorkbookDataModel","[Measures].[Discounts]","[DIM_Date].[Year].&amp;["&amp;YEAR(EDATE(TODAY(),-3))&amp;"]","[DIM_Date].[Month].&amp;["&amp;MONTH(EDATE(TODAY(),-3))&amp;"]")</f>
        <v/>
      </c>
      <c r="L19" s="22">
        <f>CUBEVALUE("ThisWorkbookDataModel","[Measures].[Discounts]","[DIM_Date].[Year].&amp;["&amp;YEAR(EDATE(TODAY(),-2))&amp;"]","[DIM_Date].[Month].&amp;["&amp;MONTH(EDATE(TODAY(),-2))&amp;"]")</f>
        <v/>
      </c>
      <c r="M19" s="22">
        <f>CUBEVALUE("ThisWorkbookDataModel","[Measures].[Discounts]","[DIM_Date].[Year].&amp;["&amp;YEAR(EDATE(TODAY(),-1))&amp;"]","[DIM_Date].[Month].&amp;["&amp;MONTH(EDATE(TODAY(),-1))&amp;"]")</f>
        <v/>
      </c>
      <c r="N19" s="22">
        <f>CUBEVALUE("ThisWorkbookDataModel","[Measures].[Discounts]","[DIM_Date].[Year].&amp;["&amp;YEAR(EDATE(TODAY(),0))&amp;"]","[DIM_Date].[Month].&amp;["&amp;MONTH(EDATE(TODAY(),0))&amp;"]")</f>
        <v/>
      </c>
    </row>
    <row r="37">
      <c r="B37" s="11" t="inlineStr">
        <is>
          <t>CAMPAIGN PERFORMANCE / DISCOUNT CODE USAGE</t>
        </is>
      </c>
    </row>
    <row r="38">
      <c r="B38" s="33" t="inlineStr">
        <is>
          <t>[ Campaign Performance (PivotTable) / Discount Code Usage (PivotTable) — Not implementable: No Campaign dimension exists (Active Campaigns' reason above applies identically). Discount Code Usage specifically: RAW_Discounts (Power Query staging) holds discount-code data, but it was never built into the star schema in Phase 4 — no DIM_/FACT_ table, no Data Model relationship, no DAX measure reads it. It's real, wired data (once Power Query is set up) but not reachable from the Data Model this sheet's other cards depend on. ]</t>
        </is>
      </c>
      <c r="C38" s="34" t="n"/>
      <c r="D38" s="34" t="n"/>
      <c r="E38" s="34" t="n"/>
      <c r="F38" s="34" t="n"/>
      <c r="G38" s="34" t="n"/>
      <c r="H38" s="34" t="n"/>
      <c r="I38" s="34" t="n"/>
      <c r="J38" s="34" t="n"/>
      <c r="K38" s="34" t="n"/>
    </row>
    <row r="39">
      <c r="B39" s="34" t="n"/>
      <c r="C39" s="34" t="n"/>
      <c r="D39" s="34" t="n"/>
      <c r="E39" s="34" t="n"/>
      <c r="F39" s="34" t="n"/>
      <c r="G39" s="34" t="n"/>
      <c r="H39" s="34" t="n"/>
      <c r="I39" s="34" t="n"/>
      <c r="J39" s="34" t="n"/>
      <c r="K39" s="34" t="n"/>
    </row>
    <row r="40">
      <c r="B40" s="34" t="n"/>
      <c r="C40" s="34" t="n"/>
      <c r="D40" s="34" t="n"/>
      <c r="E40" s="34" t="n"/>
      <c r="F40" s="34" t="n"/>
      <c r="G40" s="34" t="n"/>
      <c r="H40" s="34" t="n"/>
      <c r="I40" s="34" t="n"/>
      <c r="J40" s="34" t="n"/>
      <c r="K40" s="34" t="n"/>
    </row>
    <row r="41">
      <c r="B41" s="34" t="n"/>
      <c r="C41" s="34" t="n"/>
      <c r="D41" s="34" t="n"/>
      <c r="E41" s="34" t="n"/>
      <c r="F41" s="34" t="n"/>
      <c r="G41" s="34" t="n"/>
      <c r="H41" s="34" t="n"/>
      <c r="I41" s="34" t="n"/>
      <c r="J41" s="34" t="n"/>
      <c r="K41" s="34" t="n"/>
    </row>
    <row r="43">
      <c r="B43" s="20" t="inlineStr">
        <is>
          <t>↓ Drill into Discounts</t>
        </is>
      </c>
    </row>
    <row r="45">
      <c r="B45" s="37" t="inlineStr">
        <is>
          <t>KNOWN GAPS ON THIS SHEET  (documented, not silently missing)</t>
        </is>
      </c>
    </row>
    <row r="46" ht="24" customHeight="1">
      <c r="B46" s="5" t="inlineStr">
        <is>
          <t>Active Campaigns: No Campaign dimension exists in the Data Model — the Marketing-Ready Layer (RAW_MetaAds/RAW_GoogleAds/etc., FACT_MarketingSpend) is reserved but deliberately not connected (no API wired, per Phase 5's explicit scope), so there's no campaign data to count.</t>
        </is>
      </c>
    </row>
    <row r="47" ht="24" customHeight="1">
      <c r="B47" s="5" t="inlineStr">
        <is>
          <t>Discount Rate %: No DAX measure defines a discount-rate ratio — [Discounts] and [Gross Sales] both exist individually, but DIVIDE([Discounts],[Gross Sales]) as a named, reusable measure isn't in dax/MEASURES.md or its addenda. Adding one would be a new measure outside this phase's reuse-only scope, even though both inputs it would combine already exist.</t>
        </is>
      </c>
    </row>
    <row r="48" ht="24" customHeight="1">
      <c r="B48" s="5" t="inlineStr">
        <is>
          <t>ROAS (future): Documented as a future metric since this card's own label was written (Phase 1) — ROAS needs ad spend data from the unconnected Marketing-Ready Layer, same root cause as Active Campaigns above. dax/PHASE5_MEASURES_ADDENDUM.md's KPI Targets section states this explicitly: the target is ready and editable, there's no Actual to compare it against yet.</t>
        </is>
      </c>
    </row>
  </sheetData>
  <sheetProtection selectLockedCells="0" selectUnlockedCells="0" sheet="1" objects="0" insertRows="0" insertHyperlinks="1" autoFilter="1" scenarios="0" formatColumns="0" deleteColumns="0" insertColumns="0" pivotTables="0" deleteRows="0" formatCells="0" formatRows="0" sort="1" password="C24F"/>
  <mergeCells count="20">
    <mergeCell ref="B4:L4"/>
    <mergeCell ref="F11:G11"/>
    <mergeCell ref="B7:L7"/>
    <mergeCell ref="D12:E13"/>
    <mergeCell ref="B47:L47"/>
    <mergeCell ref="B46:L46"/>
    <mergeCell ref="A3:L3"/>
    <mergeCell ref="A2:L2"/>
    <mergeCell ref="H12:I13"/>
    <mergeCell ref="B11:C11"/>
    <mergeCell ref="B48:L48"/>
    <mergeCell ref="D11:E11"/>
    <mergeCell ref="B38:K41"/>
    <mergeCell ref="B8:L8"/>
    <mergeCell ref="H11:I11"/>
    <mergeCell ref="B12:C13"/>
    <mergeCell ref="B6:L6"/>
    <mergeCell ref="F12:G13"/>
    <mergeCell ref="A1:L1"/>
    <mergeCell ref="B5:L5"/>
  </mergeCells>
  <hyperlinks>
    <hyperlink xmlns:r="http://schemas.openxmlformats.org/officeDocument/2006/relationships" ref="A2" r:id="rId1"/>
    <hyperlink xmlns:r="http://schemas.openxmlformats.org/officeDocument/2006/relationships" ref="B43" r:id="rId2"/>
  </hyperlinks>
  <pageMargins left="0.75" right="0.75" top="1" bottom="1" header="0.5" footer="0.5"/>
  <drawing xmlns:r="http://schemas.openxmlformats.org/officeDocument/2006/relationships" r:id="rId3"/>
</worksheet>
</file>

<file path=xl/worksheets/sheet14.xml><?xml version="1.0" encoding="utf-8"?>
<worksheet xmlns="http://schemas.openxmlformats.org/spreadsheetml/2006/main">
  <sheetPr>
    <tabColor rgb="00404040"/>
    <outlinePr applyStyles="1" summaryBelow="0" summaryRight="1"/>
    <pageSetUpPr/>
  </sheetPr>
  <dimension ref="A1:I42"/>
  <sheetViews>
    <sheetView showGridLines="0" workbookViewId="0">
      <pane ySplit="10" topLeftCell="A11" activePane="bottomLeft" state="frozen"/>
      <selection pane="bottomLeft" activeCell="A1" sqref="A1"/>
    </sheetView>
  </sheetViews>
  <sheetFormatPr baseColWidth="8" defaultRowHeight="15"/>
  <cols>
    <col width="3" customWidth="1" min="1" max="1"/>
    <col width="30" customWidth="1" min="2" max="2"/>
    <col width="30" customWidth="1" min="3" max="3"/>
    <col width="16" customWidth="1" min="4" max="4"/>
    <col width="30" customWidth="1" min="5" max="5"/>
    <col width="30" customWidth="1" min="6" max="6"/>
  </cols>
  <sheetData>
    <row r="1" ht="34" customHeight="1">
      <c r="A1" s="1" t="inlineStr">
        <is>
          <t>Data Quality</t>
        </is>
      </c>
    </row>
    <row r="2" ht="16" customHeight="1">
      <c r="A2" s="17" t="inlineStr">
        <is>
          <t>PASSRESS MIS   |   Home ▸ Data Quality</t>
        </is>
      </c>
    </row>
    <row r="3" ht="14" customHeight="1">
      <c r="A3" s="3" t="inlineStr">
        <is>
          <t>Sheet Documentation  (use the  +  outline control at left to expand)</t>
        </is>
      </c>
    </row>
    <row r="4" hidden="1" outlineLevel="1" ht="13" customHeight="1">
      <c r="A4" s="4" t="inlineStr">
        <is>
          <t>Purpose</t>
        </is>
      </c>
      <c r="B4" s="5" t="inlineStr">
        <is>
          <t>Monitors refresh health, row counts, and validation checks so data problems surface immediately instead of silently propagating into dashboards.</t>
        </is>
      </c>
    </row>
    <row r="5" hidden="1" outlineLevel="1" ht="13" customHeight="1">
      <c r="A5" s="4" t="inlineStr">
        <is>
          <t>Input tables</t>
        </is>
      </c>
      <c r="B5" s="5" t="inlineStr">
        <is>
          <t>LOG_RefreshHistory, LOG_DataQuality.</t>
        </is>
      </c>
    </row>
    <row r="6" hidden="1" outlineLevel="1" ht="13" customHeight="1">
      <c r="A6" s="4" t="inlineStr">
        <is>
          <t>Output tables</t>
        </is>
      </c>
      <c r="B6" s="5" t="inlineStr">
        <is>
          <t>Refresh Status Summary, Validation Rules.</t>
        </is>
      </c>
    </row>
    <row r="7" hidden="1" outlineLevel="1" ht="13" customHeight="1">
      <c r="A7" s="4" t="inlineStr">
        <is>
          <t>Relationships</t>
        </is>
      </c>
      <c r="B7" s="5" t="inlineStr">
        <is>
          <t>Reads directly from the two hidden LOG_ sheets — this is their human-facing display, not a separate data source.</t>
        </is>
      </c>
    </row>
    <row r="8" hidden="1" outlineLevel="1" ht="13" customHeight="1">
      <c r="A8" s="4" t="inlineStr">
        <is>
          <t>Future data source</t>
        </is>
      </c>
      <c r="B8" s="5" t="inlineStr">
        <is>
          <t>LOG_RefreshHistory / LOG_DataQuality, populated by Power Query refresh events — Phase 2.</t>
        </is>
      </c>
    </row>
    <row r="9" hidden="1" outlineLevel="1"/>
    <row r="10" ht="6" customHeight="1"/>
    <row r="11" ht="15" customHeight="1">
      <c r="B11" s="6" t="inlineStr">
        <is>
          <t>LAST REFRESH</t>
        </is>
      </c>
      <c r="C11" s="7" t="n"/>
      <c r="D11" s="6" t="inlineStr">
        <is>
          <t>ROWS LOADED</t>
        </is>
      </c>
      <c r="E11" s="7" t="n"/>
      <c r="F11" s="6" t="inlineStr">
        <is>
          <t>ERRORS FOUND</t>
        </is>
      </c>
      <c r="G11" s="7" t="n"/>
      <c r="H11" s="6" t="inlineStr">
        <is>
          <t>DATA FRESHNESS</t>
        </is>
      </c>
      <c r="I11" s="7" t="n"/>
    </row>
    <row r="12" ht="22" customHeight="1">
      <c r="B12" s="8">
        <f>IFERROR(TEXT(MAX(tbl_LOG_RefreshHistory[Timestamp]),"dd-mmm hh:mm"),"—")</f>
        <v/>
      </c>
      <c r="C12" s="7" t="n"/>
      <c r="D12" s="9">
        <f>IFERROR(SUM(tbl_LOG_RefreshHistory[RowsLoaded]),"—")</f>
        <v/>
      </c>
      <c r="E12" s="7" t="n"/>
      <c r="F12" s="9">
        <f>IFERROR(COUNTIF(tbl_LOG_DataQuality[Status],"WARNING*"),"—")</f>
        <v/>
      </c>
      <c r="G12" s="7" t="n"/>
      <c r="H12" s="47">
        <f>IFERROR(TODAY()-INT(MAX(tbl_LOG_RefreshHistory[Timestamp])),"—")</f>
        <v/>
      </c>
      <c r="I12" s="7" t="n"/>
    </row>
    <row r="13" ht="22" customHeight="1">
      <c r="B13" s="7" t="n"/>
      <c r="C13" s="7" t="n"/>
      <c r="D13" s="7" t="n"/>
      <c r="E13" s="7" t="n"/>
      <c r="F13" s="7" t="n"/>
      <c r="G13" s="7" t="n"/>
      <c r="H13" s="7" t="n"/>
      <c r="I13" s="7" t="n"/>
    </row>
    <row r="16">
      <c r="B16" s="11" t="inlineStr">
        <is>
          <t>VALIDATION RULES  (orange cells = configurable)</t>
        </is>
      </c>
    </row>
    <row r="17" ht="18" customHeight="1">
      <c r="B17" s="48" t="inlineStr">
        <is>
          <t>Rule ID</t>
        </is>
      </c>
      <c r="C17" s="48" t="inlineStr">
        <is>
          <t>Check Name</t>
        </is>
      </c>
      <c r="D17" s="48" t="inlineStr">
        <is>
          <t>Applies To</t>
        </is>
      </c>
      <c r="E17" s="48" t="inlineStr">
        <is>
          <t>Threshold</t>
        </is>
      </c>
    </row>
    <row r="18">
      <c r="B18" s="49" t="inlineStr">
        <is>
          <t>DQ-001</t>
        </is>
      </c>
      <c r="C18" s="49" t="inlineStr">
        <is>
          <t>No orders older than lookback window missing</t>
        </is>
      </c>
      <c r="D18" s="49" t="inlineStr">
        <is>
          <t>RAW_Orders</t>
        </is>
      </c>
      <c r="E18" s="49" t="inlineStr">
        <is>
          <t>0 gaps</t>
        </is>
      </c>
    </row>
    <row r="21">
      <c r="B21" s="11" t="inlineStr">
        <is>
          <t>REFRESH STATUS SUMMARY  (calculated — Phase 2)</t>
        </is>
      </c>
    </row>
    <row r="22" ht="18" customHeight="1">
      <c r="B22" s="50" t="inlineStr">
        <is>
          <t>Table</t>
        </is>
      </c>
      <c r="C22" s="50" t="inlineStr">
        <is>
          <t>Last Refreshed</t>
        </is>
      </c>
      <c r="D22" s="50" t="inlineStr">
        <is>
          <t>Row Count</t>
        </is>
      </c>
      <c r="E22" s="50" t="inlineStr">
        <is>
          <t>Status</t>
        </is>
      </c>
    </row>
    <row r="23">
      <c r="B23" s="30" t="n"/>
      <c r="C23" s="30" t="n"/>
      <c r="D23" s="30" t="n"/>
      <c r="E23" s="30" t="n"/>
    </row>
    <row r="26">
      <c r="B26" s="38" t="inlineStr">
        <is>
          <t>DATA QUALITY CHECKS</t>
        </is>
      </c>
    </row>
    <row r="27" ht="18" customHeight="1">
      <c r="B27" s="50" t="inlineStr">
        <is>
          <t>Check Name</t>
        </is>
      </c>
      <c r="C27" s="50" t="inlineStr">
        <is>
          <t>Metric</t>
        </is>
      </c>
      <c r="D27" s="50" t="inlineStr">
        <is>
          <t>Result</t>
        </is>
      </c>
      <c r="E27" s="50" t="inlineStr">
        <is>
          <t>Status</t>
        </is>
      </c>
      <c r="F27" s="50" t="inlineStr">
        <is>
          <t>Notes</t>
        </is>
      </c>
    </row>
    <row r="28" ht="26" customHeight="1">
      <c r="B28" s="30" t="inlineStr">
        <is>
          <t>Missing SKU</t>
        </is>
      </c>
      <c r="C28" s="51" t="inlineStr">
        <is>
          <t>RAW_Variants rows with a blank SKU</t>
        </is>
      </c>
      <c r="D28" s="52">
        <f>COUNTIFS(tbl_RAW_Variants[SKU],"")</f>
        <v/>
      </c>
      <c r="E28" s="30">
        <f>IF(D28=0,"PASS","REVIEW")</f>
        <v/>
      </c>
      <c r="F28" s="51" t="inlineStr">
        <is>
          <t>Reused from Alerts (ALT-04) — same check, not recomputed differently here.</t>
        </is>
      </c>
    </row>
    <row r="29" ht="26" customHeight="1">
      <c r="B29" s="24" t="inlineStr">
        <is>
          <t>Missing Cost</t>
        </is>
      </c>
      <c r="C29" s="20" t="inlineStr">
        <is>
          <t>Order lines with no matching Product Cost Master row</t>
        </is>
      </c>
      <c r="D29" s="53">
        <f>CUBEVALUE("ThisWorkbookDataModel","[Measures].[Lines Missing Cost]")</f>
        <v/>
      </c>
      <c r="E29" s="24">
        <f>IF(D29=0,"PASS","REVIEW")</f>
        <v/>
      </c>
      <c r="F29" s="20" t="inlineStr">
        <is>
          <t>Reused from dax/MEASURES.md's [Lines Missing Cost] — same measure Alerts (ALT-03) reads.</t>
        </is>
      </c>
    </row>
    <row r="30" ht="26" customHeight="1">
      <c r="B30" s="24" t="inlineStr">
        <is>
          <t>Missing Supplier</t>
        </is>
      </c>
      <c r="C30" s="20" t="inlineStr">
        <is>
          <t>SKUs with no PrimarySupplierID (DIM_Product)</t>
        </is>
      </c>
      <c r="D30" s="53">
        <f>COUNTIFS(tbl_DIM_Product[PrimarySupplierID],"")</f>
        <v/>
      </c>
      <c r="E30" s="24">
        <f>IF(D30=0,"PASS","REVIEW")</f>
        <v/>
      </c>
      <c r="F30" s="20" t="inlineStr">
        <is>
          <t>PrimarySupplierID is best-effort (most recent Goods Receipt per SKU) — see DIM_Product.pq. A count here is expected for never-received SKUs, not necessarily an error. Uses tbl_DIM_Product (the placeholder name): DIM_/FACT_ tables go through the exact same Phase-1-placeholder-until-wired lifecycle as RAW_/LOG_ tables (dax/README.md Step 1) — DIM_Product with no prefix doesn't exist until the Data Model is built, same root cause as the RAW_/LOG_ fix above.</t>
        </is>
      </c>
    </row>
    <row r="31" ht="26" customHeight="1">
      <c r="B31" s="24" t="inlineStr">
        <is>
          <t>Duplicate Orders</t>
        </is>
      </c>
      <c r="C31" s="20" t="inlineStr">
        <is>
          <t>OrderIDs appearing more than once in RAW_Orders</t>
        </is>
      </c>
      <c r="D31" s="53">
        <f>SUMPRODUCT((COUNTIF(tbl_RAW_Orders[OrderID],tbl_RAW_Orders[OrderID])&gt;1)*1)</f>
        <v/>
      </c>
      <c r="E31" s="24">
        <f>IF(D31=0,"PASS","REVIEW")</f>
        <v/>
      </c>
      <c r="F31" s="20" t="inlineStr">
        <is>
          <t>Should always be 0 — Shopify order IDs are unique. A nonzero count means the Power Query refresh appended duplicate rows; check RAW_Orders.pq's incremental-window logic first.</t>
        </is>
      </c>
    </row>
    <row r="32" ht="26" customHeight="1">
      <c r="B32" s="24" t="inlineStr">
        <is>
          <t>Duplicate Expenses</t>
        </is>
      </c>
      <c r="C32" s="20" t="inlineStr">
        <is>
          <t>Manual Expenses flagged Possible Duplicate</t>
        </is>
      </c>
      <c r="D32" s="53">
        <f>COUNTIF(tbl_ManualExpenses[Possible Duplicate],"Possible Duplicate")</f>
        <v/>
      </c>
      <c r="E32" s="24">
        <f>IF(D32=0,"PASS","REVIEW")</f>
        <v/>
      </c>
      <c r="F32" s="20" t="inlineStr">
        <is>
          <t>Reused from Alerts (ALT-06) and Phase 3's own duplicate-flag column — not recomputed.</t>
        </is>
      </c>
    </row>
    <row r="33" ht="26" customHeight="1">
      <c r="B33" s="24" t="inlineStr">
        <is>
          <t>Products without Collection</t>
        </is>
      </c>
      <c r="C33" s="20" t="inlineStr">
        <is>
          <t>RAW_Products rows with blank CollectionIDs</t>
        </is>
      </c>
      <c r="D33" s="53">
        <f>COUNTIFS(tbl_RAW_Products[CollectionIDs],"")</f>
        <v/>
      </c>
      <c r="E33" s="24">
        <f>IF(D33=0,"PASS","REVIEW")</f>
        <v/>
      </c>
      <c r="F33" s="20" t="inlineStr"/>
    </row>
    <row r="34" ht="26" customHeight="1">
      <c r="B34" s="24" t="inlineStr">
        <is>
          <t>Products without Images</t>
        </is>
      </c>
      <c r="C34" s="20" t="inlineStr">
        <is>
          <t>N/A — not computable with current data</t>
        </is>
      </c>
      <c r="D34" s="53">
        <f>"N/A"</f>
        <v/>
      </c>
      <c r="E34" s="24">
        <f>"N/A"</f>
        <v/>
      </c>
      <c r="F34" s="20" t="inlineStr">
        <is>
          <t>RAW_Products.pq never fetched image data (not in Phase 2's original scope, and Phase 6 must not modify Phase 2's files) — adding an `images` field to that GraphQL query is a clean, isolated future addition, not a Phase 6 change.</t>
        </is>
      </c>
    </row>
    <row r="35" ht="26" customHeight="1">
      <c r="B35" s="24" t="inlineStr">
        <is>
          <t>Negative Inventory</t>
        </is>
      </c>
      <c r="C35" s="20" t="inlineStr">
        <is>
          <t>RAW_InventoryLevels rows with Available &lt; 0</t>
        </is>
      </c>
      <c r="D35" s="53">
        <f>COUNTIFS(tbl_RAW_InventoryLevels[Available],"&lt;0")</f>
        <v/>
      </c>
      <c r="E35" s="24">
        <f>IF(D35=0,"PASS","REVIEW")</f>
        <v/>
      </c>
      <c r="F35" s="20" t="inlineStr">
        <is>
          <t>Should always be 0 — a negative available count usually signals an oversell or an inventory-sync issue in Shopify itself, not a workbook bug.</t>
        </is>
      </c>
    </row>
    <row r="36" ht="26" customHeight="1">
      <c r="B36" s="24" t="inlineStr">
        <is>
          <t>Missing Customer</t>
        </is>
      </c>
      <c r="C36" s="20" t="inlineStr">
        <is>
          <t>RAW_Orders rows with a blank CustomerID</t>
        </is>
      </c>
      <c r="D36" s="53">
        <f>COUNTIFS(tbl_RAW_Orders[CustomerID],"")</f>
        <v/>
      </c>
      <c r="E36" s="24">
        <f>IF(D36=0,"PASS","REVIEW")</f>
        <v/>
      </c>
      <c r="F36" s="20" t="inlineStr">
        <is>
          <t>Expected to be nonzero for legitimate guest checkouts — a HIGH count relative to total orders is the actual signal worth investigating, not any nonzero count.</t>
        </is>
      </c>
    </row>
    <row r="37" ht="26" customHeight="1">
      <c r="B37" s="24" t="inlineStr">
        <is>
          <t>Missing Payment</t>
        </is>
      </c>
      <c r="C37" s="20" t="inlineStr">
        <is>
          <t>Orders in RAW_Orders with no matching transaction in RAW_Transactions</t>
        </is>
      </c>
      <c r="D37" s="53">
        <f>SUMPRODUCT((COUNTIF(tbl_RAW_Transactions[OrderID],tbl_RAW_Orders[OrderID])=0)*1)</f>
        <v/>
      </c>
      <c r="E37" s="24">
        <f>IF(D37=0,"PASS","REVIEW")</f>
        <v/>
      </c>
      <c r="F37" s="20" t="inlineStr">
        <is>
          <t>An anti-join count — orders that exist but have zero associated payment transactions. Should be near 0 for a store where checkout = payment.</t>
        </is>
      </c>
    </row>
    <row r="38" ht="26" customHeight="1">
      <c r="B38" s="24" t="inlineStr">
        <is>
          <t>Refresh Failures</t>
        </is>
      </c>
      <c r="C38" s="20" t="inlineStr">
        <is>
          <t>Refreshes with an error condition (from LOG_DataQuality)</t>
        </is>
      </c>
      <c r="D38" s="53">
        <f>COUNTIF(tbl_LOG_DataQuality[Status],"WARNING*")</f>
        <v/>
      </c>
      <c r="E38" s="24">
        <f>IF(D38=0,"PASS","REVIEW")</f>
        <v/>
      </c>
      <c r="F38" s="20" t="inlineStr">
        <is>
          <t>Reused from Alerts (ALT-11) — same LOG_DataQuality check, not recomputed.</t>
        </is>
      </c>
    </row>
    <row r="40">
      <c r="B40" s="11" t="inlineStr">
        <is>
          <t>Overall Data Quality %</t>
        </is>
      </c>
      <c r="C40" s="54">
        <f>COUNTIF(E28:E38,"PASS")/(COUNTA(E28:E38)-COUNTIF(E28:E38,"N/A"))</f>
        <v/>
      </c>
    </row>
    <row r="42">
      <c r="B42" s="11" t="inlineStr">
        <is>
          <t>HISTORICAL REFRESH TREND  (Rows Loaded per refresh, from LOG_RefreshHistory)</t>
        </is>
      </c>
    </row>
  </sheetData>
  <sheetProtection selectLockedCells="0" selectUnlockedCells="0" sheet="1" objects="0" insertRows="0" insertHyperlinks="1" autoFilter="1" scenarios="0" formatColumns="0" deleteColumns="0" insertColumns="0" pivotTables="0" deleteRows="0" formatCells="0" formatRows="0" sort="1" password="C24F"/>
  <mergeCells count="16">
    <mergeCell ref="B12:C13"/>
    <mergeCell ref="F11:G11"/>
    <mergeCell ref="H11:I11"/>
    <mergeCell ref="B8:E8"/>
    <mergeCell ref="H12:I13"/>
    <mergeCell ref="B4:E4"/>
    <mergeCell ref="A2:E2"/>
    <mergeCell ref="B11:C11"/>
    <mergeCell ref="F12:G13"/>
    <mergeCell ref="D11:E11"/>
    <mergeCell ref="B6:E6"/>
    <mergeCell ref="D12:E13"/>
    <mergeCell ref="B7:E7"/>
    <mergeCell ref="A1:E1"/>
    <mergeCell ref="B5:E5"/>
    <mergeCell ref="A3:E3"/>
  </mergeCells>
  <hyperlinks>
    <hyperlink xmlns:r="http://schemas.openxmlformats.org/officeDocument/2006/relationships" ref="A2" r:id="rId1"/>
  </hyperlinks>
  <pageMargins left="0.75" right="0.75" top="1" bottom="1" header="0.5" footer="0.5"/>
  <drawing xmlns:r="http://schemas.openxmlformats.org/officeDocument/2006/relationships" r:id="rId2"/>
  <tableParts count="3">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15.xml><?xml version="1.0" encoding="utf-8"?>
<worksheet xmlns="http://schemas.openxmlformats.org/spreadsheetml/2006/main">
  <sheetPr>
    <tabColor rgb="00404040"/>
    <outlinePr applyStyles="1" summaryBelow="0" summaryRight="1"/>
    <pageSetUpPr/>
  </sheetPr>
  <dimension ref="A1:F181"/>
  <sheetViews>
    <sheetView showGridLines="0" workbookViewId="0">
      <pane ySplit="10" topLeftCell="A11" activePane="bottomLeft" state="frozen"/>
      <selection pane="bottomLeft" activeCell="A1" sqref="A1"/>
    </sheetView>
  </sheetViews>
  <sheetFormatPr baseColWidth="8" defaultRowHeight="15"/>
  <cols>
    <col width="3" customWidth="1" min="1" max="1"/>
    <col width="18" customWidth="1" min="2" max="2"/>
    <col width="22" customWidth="1" min="3" max="3"/>
    <col width="44" customWidth="1" min="4" max="4"/>
  </cols>
  <sheetData>
    <row r="1" ht="34" customHeight="1">
      <c r="A1" s="1" t="inlineStr">
        <is>
          <t>Settings</t>
        </is>
      </c>
    </row>
    <row r="2" ht="16" customHeight="1">
      <c r="A2" s="17" t="inlineStr">
        <is>
          <t>PASSRESS MIS   |   Home ▸ Settings</t>
        </is>
      </c>
    </row>
    <row r="3" ht="14" customHeight="1">
      <c r="A3" s="3" t="inlineStr">
        <is>
          <t>Sheet Documentation  (use the  +  outline control at left to expand)</t>
        </is>
      </c>
    </row>
    <row r="4" hidden="1" outlineLevel="1" ht="13" customHeight="1">
      <c r="A4" s="4" t="inlineStr">
        <is>
          <t>Purpose</t>
        </is>
      </c>
      <c r="B4" s="5" t="inlineStr">
        <is>
          <t>Central control panel — every configurable parameter the rest of the workbook depends on. The single place non-technical changes should be made.</t>
        </is>
      </c>
    </row>
    <row r="5" hidden="1" outlineLevel="1" ht="13" customHeight="1">
      <c r="A5" s="4" t="inlineStr">
        <is>
          <t>Input tables</t>
        </is>
      </c>
      <c r="B5" s="5" t="inlineStr">
        <is>
          <t>None — this sheet is the input.</t>
        </is>
      </c>
    </row>
    <row r="6" hidden="1" outlineLevel="1" ht="13" customHeight="1">
      <c r="A6" s="4" t="inlineStr">
        <is>
          <t>Output tables</t>
        </is>
      </c>
      <c r="B6" s="5" t="inlineStr">
        <is>
          <t>DIM_Parameters (disconnected DAX table mirrors these values), Power Query parameters (Phase 2), Chart of Accounts mapping used by 08_Finance/09_Profitability.</t>
        </is>
      </c>
    </row>
    <row r="7" hidden="1" outlineLevel="1" ht="13" customHeight="1">
      <c r="A7" s="4" t="inlineStr">
        <is>
          <t>Relationships</t>
        </is>
      </c>
      <c r="B7" s="5" t="inlineStr">
        <is>
          <t>Every Power Query parameter and every DAX measure that needs a configurable constant reads from here — never hardcoded elsewhere.</t>
        </is>
      </c>
    </row>
    <row r="8" hidden="1" outlineLevel="1" ht="13" customHeight="1">
      <c r="A8" s="4" t="inlineStr">
        <is>
          <t>Future data source</t>
        </is>
      </c>
      <c r="B8" s="5" t="inlineStr">
        <is>
          <t>This IS the source. No external system.</t>
        </is>
      </c>
    </row>
    <row r="9" hidden="1" outlineLevel="1"/>
    <row r="10" ht="6" customHeight="1"/>
    <row r="11">
      <c r="B11" s="11" t="inlineStr">
        <is>
          <t>GENERAL SETTINGS  (orange cells = configurable)</t>
        </is>
      </c>
    </row>
    <row r="12" ht="16" customHeight="1">
      <c r="B12" s="55" t="inlineStr">
        <is>
          <t>Parameter</t>
        </is>
      </c>
      <c r="C12" s="55" t="inlineStr">
        <is>
          <t>Value</t>
        </is>
      </c>
      <c r="D12" s="55" t="inlineStr">
        <is>
          <t>Description</t>
        </is>
      </c>
    </row>
    <row r="13">
      <c r="B13" s="56" t="inlineStr">
        <is>
          <t>Company Name</t>
        </is>
      </c>
      <c r="C13" s="14" t="inlineStr">
        <is>
          <t>Passress</t>
        </is>
      </c>
      <c r="D13" s="51" t="inlineStr">
        <is>
          <t>Legal/trading name shown across dashboards.</t>
        </is>
      </c>
    </row>
    <row r="14">
      <c r="B14" s="56" t="inlineStr">
        <is>
          <t>Base Currency</t>
        </is>
      </c>
      <c r="C14" s="14" t="inlineStr">
        <is>
          <t>EGP</t>
        </is>
      </c>
      <c r="D14" s="51" t="inlineStr">
        <is>
          <t>Currency all imported Shopify data is stored in.</t>
        </is>
      </c>
    </row>
    <row r="15">
      <c r="B15" s="56" t="inlineStr">
        <is>
          <t>Reporting Currency</t>
        </is>
      </c>
      <c r="C15" s="14" t="inlineStr">
        <is>
          <t>EGP</t>
        </is>
      </c>
      <c r="D15" s="51" t="inlineStr">
        <is>
          <t>Currency used for dashboard display. Phase 1: same as base.</t>
        </is>
      </c>
    </row>
    <row r="16">
      <c r="B16" s="56" t="inlineStr">
        <is>
          <t>Fiscal Year Start Month</t>
        </is>
      </c>
      <c r="C16" s="14" t="inlineStr">
        <is>
          <t>January</t>
        </is>
      </c>
      <c r="D16" s="51" t="inlineStr">
        <is>
          <t>First month of fiscal year, used for YTD/FY calculations.</t>
        </is>
      </c>
    </row>
    <row r="17">
      <c r="B17" s="56" t="inlineStr">
        <is>
          <t>Default VAT Rate</t>
        </is>
      </c>
      <c r="C17" s="14" t="inlineStr">
        <is>
          <t>14%</t>
        </is>
      </c>
      <c r="D17" s="51" t="inlineStr">
        <is>
          <t>Egypt standard VAT — used for tax reconciliation.</t>
        </is>
      </c>
    </row>
    <row r="18">
      <c r="B18" s="56" t="inlineStr">
        <is>
          <t>Target Gross Margin %</t>
        </is>
      </c>
      <c r="C18" s="14" t="inlineStr">
        <is>
          <t>55%</t>
        </is>
      </c>
      <c r="D18" s="51" t="inlineStr">
        <is>
          <t>Benchmark used for profitability flags (Phase 3).</t>
        </is>
      </c>
    </row>
    <row r="21">
      <c r="B21" s="11" t="inlineStr">
        <is>
          <t>SHOPIFY CONNECTION SETTINGS  (fill in Store Domain to go live; token is never stored here)</t>
        </is>
      </c>
    </row>
    <row r="22" ht="16" customHeight="1">
      <c r="B22" s="55" t="inlineStr">
        <is>
          <t>Parameter</t>
        </is>
      </c>
      <c r="C22" s="55" t="inlineStr">
        <is>
          <t>Value</t>
        </is>
      </c>
      <c r="D22" s="55" t="inlineStr">
        <is>
          <t>Description</t>
        </is>
      </c>
    </row>
    <row r="23">
      <c r="B23" s="56" t="inlineStr">
        <is>
          <t>Shopify Store Domain</t>
        </is>
      </c>
      <c r="C23" s="14" t="inlineStr">
        <is>
          <t>your-store.myshopify.com</t>
        </is>
      </c>
      <c r="D23" s="51" t="inlineStr">
        <is>
          <t>Set this to your real *.myshopify.com domain to go live. The access token itself is never stored in this workbook — see power-query/README.md.</t>
        </is>
      </c>
    </row>
    <row r="24">
      <c r="B24" s="56" t="inlineStr">
        <is>
          <t>Shopify API Version</t>
        </is>
      </c>
      <c r="C24" s="14" t="inlineStr">
        <is>
          <t>2025-01</t>
        </is>
      </c>
      <c r="D24" s="51" t="inlineStr">
        <is>
          <t>Admin GraphQL API version pinned for Power Query — reviewed twice a year.</t>
        </is>
      </c>
    </row>
    <row r="25">
      <c r="B25" s="56" t="inlineStr">
        <is>
          <t>Lookback Days (Incremental Refresh)</t>
        </is>
      </c>
      <c r="C25" s="14" t="inlineStr">
        <is>
          <t>7</t>
        </is>
      </c>
      <c r="D25" s="51" t="inlineStr">
        <is>
          <t>Rolling re-check window: days of history re-pulled on every refresh so late-updated records are never missed.</t>
        </is>
      </c>
    </row>
    <row r="26">
      <c r="B26" s="56" t="inlineStr">
        <is>
          <t>Historical Backfill Start Date</t>
        </is>
      </c>
      <c r="C26" s="14" t="inlineStr">
        <is>
          <t>2024-01-01</t>
        </is>
      </c>
      <c r="D26" s="51" t="inlineStr">
        <is>
          <t>Earliest date fetched on a first-ever run (empty staging table). Ignored once a table has data — Lookback Days takes over.</t>
        </is>
      </c>
    </row>
    <row r="27">
      <c r="B27" s="56" t="inlineStr">
        <is>
          <t>Max Pages Per Refresh (Safety Cap)</t>
        </is>
      </c>
      <c r="C27" s="14" t="inlineStr">
        <is>
          <t>500</t>
        </is>
      </c>
      <c r="D27" s="51" t="inlineStr">
        <is>
          <t>Hard stop on pagination per query per refresh (500 pages x 250 records ≈ 125,000 rows), so a misconfigured filter can't run away.</t>
        </is>
      </c>
    </row>
    <row r="30">
      <c r="B30" s="11" t="inlineStr">
        <is>
          <t>CHART OF ACCOUNTS MAPPING  (orange cells = configurable)</t>
        </is>
      </c>
    </row>
    <row r="31" ht="18" customHeight="1">
      <c r="B31" s="48" t="inlineStr">
        <is>
          <t>Account Code</t>
        </is>
      </c>
      <c r="C31" s="48" t="inlineStr">
        <is>
          <t>Account Name</t>
        </is>
      </c>
      <c r="D31" s="48" t="inlineStr">
        <is>
          <t>Statement</t>
        </is>
      </c>
      <c r="E31" s="48" t="inlineStr">
        <is>
          <t>P&amp;L / BS Line</t>
        </is>
      </c>
      <c r="F31" s="48" t="inlineStr">
        <is>
          <t>Source</t>
        </is>
      </c>
    </row>
    <row r="32">
      <c r="B32" s="49" t="inlineStr">
        <is>
          <t>4000</t>
        </is>
      </c>
      <c r="C32" s="49" t="inlineStr">
        <is>
          <t>EXAMPLE — Net Sales</t>
        </is>
      </c>
      <c r="D32" s="49" t="inlineStr">
        <is>
          <t>P&amp;L</t>
        </is>
      </c>
      <c r="E32" s="49" t="inlineStr">
        <is>
          <t>Revenue</t>
        </is>
      </c>
      <c r="F32" s="49" t="inlineStr">
        <is>
          <t>FACT_OrderLines</t>
        </is>
      </c>
    </row>
    <row r="35">
      <c r="B35" s="11" t="inlineStr">
        <is>
          <t>WORKBOOK VERSION LOG  (system-maintained — every phase appends a row here)</t>
        </is>
      </c>
    </row>
    <row r="36" ht="18" customHeight="1">
      <c r="B36" s="50" t="inlineStr">
        <is>
          <t>Version</t>
        </is>
      </c>
      <c r="C36" s="50" t="inlineStr">
        <is>
          <t>Date</t>
        </is>
      </c>
      <c r="D36" s="50" t="inlineStr">
        <is>
          <t>Phase</t>
        </is>
      </c>
      <c r="E36" s="50" t="inlineStr">
        <is>
          <t>Summary</t>
        </is>
      </c>
    </row>
    <row r="37">
      <c r="B37" s="30" t="inlineStr">
        <is>
          <t>1.0</t>
        </is>
      </c>
      <c r="C37" s="30" t="inlineStr">
        <is>
          <t>2026-07-26</t>
        </is>
      </c>
      <c r="D37" s="30" t="inlineStr">
        <is>
          <t>Phase 1 — Workbook Foundation</t>
        </is>
      </c>
      <c r="E37" s="30" t="inlineStr">
        <is>
          <t>Structure, tables, named ranges, documentation. No live data, no calculations.</t>
        </is>
      </c>
    </row>
    <row r="38">
      <c r="B38" s="30" t="inlineStr">
        <is>
          <t>1.1</t>
        </is>
      </c>
      <c r="C38" s="30" t="inlineStr">
        <is>
          <t>2026-07-26</t>
        </is>
      </c>
      <c r="D38" s="30" t="inlineStr">
        <is>
          <t>Phase 1 Finalization</t>
        </is>
      </c>
      <c r="E38" s="30" t="inlineStr">
        <is>
          <t>01_Home's Workbook Version / Phase Completed KPI cards now read this table's last row live via formula — every future phase appends a row here and Home updates automatically.</t>
        </is>
      </c>
    </row>
    <row r="39">
      <c r="B39" s="30" t="inlineStr">
        <is>
          <t>2.0</t>
        </is>
      </c>
      <c r="C39" s="30" t="inlineStr">
        <is>
          <t>2026-07-26</t>
        </is>
      </c>
      <c r="D39" s="30" t="inlineStr">
        <is>
          <t>Phase 2 — Shopify GraphQL Ingestion Layer</t>
        </is>
      </c>
      <c r="E39" s="30" t="inlineStr">
        <is>
          <t>Complete Power Query M layer: authentication (Extension.CurrentCredential, no hardcoded tokens), automatic cursor pagination, incremental refresh, HTTP/GraphQL error handling with backoff. Covers Products, Variants, Orders, Order Lines, Customers, Collections, Inventory Levels, Transactions, Refunds, Discounts — read-only (GraphQL query operations only). Added RAW_Transactions and RAW_Discounts staging sheets; revised RAW_Refunds and RAW_InventoryLevels to match verified Shopify Admin API schema. See /passress-mis/power-query/README.md and DOCUMENTATION.md. No dashboards yet.</t>
        </is>
      </c>
    </row>
    <row r="40">
      <c r="B40" s="30" t="inlineStr">
        <is>
          <t>3.0</t>
        </is>
      </c>
      <c r="C40" s="30" t="inlineStr">
        <is>
          <t>2026-07-26</t>
        </is>
      </c>
      <c r="D40" s="30" t="inlineStr">
        <is>
          <t>Phase 3 — Business Master Data &amp; Manual-Entry Engine</t>
        </is>
      </c>
      <c r="E40" s="30" t="inlineStr">
        <is>
          <t>Product Cost Master with historical/versioned costing (05_Products). Complete Manual Expenses module: category/subcategory lookups, duplicate-flag column, document references (10_Expenses). Capital module (11_Capital). Expanded Supplier Master + full Purchase Order engine — Header/Lines/Goods Receipt with a Draft-to-Closed status workflow (12_Suppliers). Every dropdown sourced from an editable lookup table on 15_Settings — no hardcoded values — with input prompts and stop-on-error messages. SKU/Collection dropdowns reference the live Shopify RAW_ tables, not a separate manual list. New hidden Data-Model-ready mirrors: DIM_Supplier, DIM_ProductCostHistory, FACT_CapitalTransactions, FACT_PurchaseOrderHeader, FACT_PurchaseOrderLines, FACT_GoodsReceipt. See /passress-mis/PHASE3_DOCUMENTATION.md. Still no dashboards, PivotTables, DAX, or financial statements.</t>
        </is>
      </c>
    </row>
    <row r="41">
      <c r="B41" s="30" t="inlineStr">
        <is>
          <t>4.0</t>
        </is>
      </c>
      <c r="C41" s="30" t="inlineStr">
        <is>
          <t>2026-07-26</t>
        </is>
      </c>
      <c r="D41" s="30" t="inlineStr">
        <is>
          <t>Phase 4 — Financial Calculation Engine (Data Model + DAX)</t>
        </is>
      </c>
      <c r="E41" s="30" t="inlineStr">
        <is>
          <t>Completed the RAW_/manual-table -&gt; star-schema transformation layer Phase 1 sketched but Phase 2-3 left empty (power-query/star-schema/, 18 M files): DIM_Date (generated calendar, fiscal-year aware), DIM_Product/Customer/Location/Collection/Supplier/ProductCostHistory, and every FACT_ table, including historically-correct COGS resolved per order line via fn_GetEffectiveCost (SKU + order date -&gt; the Product Cost Master row active on that date, never today's cost). Full DAX measure library (dax/MEASURES.md): P&amp;L, Balance Sheet, Cash Flow, Product Profitability, Customer Metrics (incl. cohorts), Inventory Metrics, Executive KPIs, and a full time-intelligence layer (MTD/QTD/YTD/previous period/SPLY/rolling 30-90-365) applied to the headline measures with the reusable pattern documented for extending to any other. Built as composable base measures referenced by name from composite ones — no duplicated calculations. Reconciliation section validates Balance Sheet (Assets=Liabilities+Equity), Cash Position (direct vs. indirect), Net Sales (FACT vs. RAW Shopify totals), and refund/cost-coverage integrity. Accounts Payable is a documented proxy (no payment-status field exists yet — flagged, not silently assumed). See /passress-mis/dax/README.md and MEASURES.md. Still no dashboards, PivotTables, PivotCharts, or KPI cards.</t>
        </is>
      </c>
    </row>
    <row r="42">
      <c r="B42" s="30" t="inlineStr">
        <is>
          <t>5.0</t>
        </is>
      </c>
      <c r="C42" s="30" t="inlineStr">
        <is>
          <t>2026-07-26</t>
        </is>
      </c>
      <c r="D42" s="30" t="inlineStr">
        <is>
          <t>Phase 5 — BI Application Layer (Dashboards, Insights, Alerts, Budget, Forecast)</t>
        </is>
      </c>
      <c r="E42" s="30" t="inlineStr">
        <is>
          <t>02_Partner_Dashboard and 03_CEO_Dashboard rebuilt with real content: live KPI cards, a 12-month trend chart, and a Top-5-products list, all built with CUBEVALUE/CUBESET/CUBERANKEDMEMBER formulas reading the Data Model directly — no PivotTable required, so these resolve for real once the Data Model is wired, not just placeholders. BI_Insights and BI_Alerts (new hidden BI_ sheets): CUBEVALUE-driven auto-generated business insights and operational alerts, reusing Phase 2-4's own data-quality/reconciliation logic rather than duplicating it. BI_Forecast: rolling linear-trend forecasts (Excel's native FORECAST.LINEAR) for Sales/Expenses/Profit/Inventory/Cash, with an explicit Method column so a future AI forecasting layer is a swap-in, not a redesign. KPI Targets (15_Settings) and a yearly/monthly Budget module (08_Finance) with Actual-vs-Target and Actual/Forecast-vs-Budget DAX measures (dax/PHASE5_MEASURES_ADDENDUM.md, additive to Phase 4's MEASURES.md). Marketing-Ready Layer: 6 reserved, unconnected RAW_ tables (Meta/Google Analytics/Google Ads/TikTok/Email/Influencer) plus FACT_MarketingSpend, matching Phase 1's original placeholder pattern. FUTURE_AI_Insights: a reserved, unimplemented inventory of future AI features. Every dashboard now has a clickable breadcrumb back to 01_Home (title_bar's Home link). Global Filters panel (01_Home) prepares named filter cells for future slicer-equivalent filtering; native Excel Slicers still need real PivotTables (Phase 6) to attach to. Dashboards are landscape, fit-to-width, print-area-scoped for clean PDF export. See /passress-mis/PHASE5_DOCUMENTATION.md.</t>
        </is>
      </c>
    </row>
    <row r="43">
      <c r="B43" s="30" t="inlineStr">
        <is>
          <t>6.0</t>
        </is>
      </c>
      <c r="C43" s="30" t="inlineStr">
        <is>
          <t>2026-07-26</t>
        </is>
      </c>
      <c r="D43" s="30" t="inlineStr">
        <is>
          <t>Phase 6 — Operational Excellence, Automation, Auditability, Production Readiness</t>
        </is>
      </c>
      <c r="E43" s="30" t="inlineStr">
        <is>
          <t>RPT_ExecutiveBrief (new hidden sheet, linked from 01_Home): one-page A4-printable daily brief — today's Revenue/Orders/Gross Profit/Margin, Cash Position, Inventory Value, Revenue vs Yesterday, Top 5 Products/Collections, Critical Alerts, Business Health Score, Executive Commentary — also serves as the Automated Daily Report (print-ready from the start, no separate duplicate sheet). BI_HealthScore: the master 0-100 Business Health Score, 10 weighted components (weights editable on 15_Settings' new tbl_HealthScoreWeights), Red/Amber/Green status. 14_Data_Quality expanded with 11 checks (Missing SKU/Cost/Supplier, Duplicate Orders/Expenses, Products without Collection/Images, Negative Inventory, Missing Customer/Payment, Refresh Failures — Products without Images marked N/A, honestly, since RAW_Products.pq was never extended to fetch image data and Phase 6 must not modify Phase 2), an Overall Data Quality % (named range, reused by the Health Score), and a Historical Refresh Trend chart. RPT_Workflow (new hidden sheet): Purchase Orders/Open Orders/Pending Receipts/Inventory to Receive/Supplier Status/Capital Remaining/Outstanding Expenses/Monthly Purchasing — reuses existing measures under workflow-specific labels rather than inventing new ones. DIM_Date.pq extended (additively — every existing column unchanged) with IsWorkingDay/IsHoliday/HolidayName, reading a new empty-by-default Holidays table (15_Settings) — MTD/QTD/YTD/Rolling 12/Previous Year/SPLY needed no new columns, already fully covered by Phase 4's time intelligence. Drill-through hyperlinks added from Partner/CEO Dashboard KPI sections to their detail sheets (04_Sales/06_Customers/07_Inventory/09_Profitability/10_Expenses) — link-based navigation, not true OLAP drill-through, which needs real PivotTables (Phase 7+). PRODUCTION READINESS REVIEW found and fixed 5 real bugs: SKUList/CollectionTitleList named ranges and 3 Phase 5 Alert formulas referenced Phase 1's placeholder table names (tbl_RAW_Variants, tbl_LOG_RefreshHistory, tbl_LOG_DataQuality) instead of the permanent post-Power-Query-wiring names (RAW_Variants, LOG_RefreshHistory, LOG_DataQuality) — every DAX measure already used the correct convention; only these 5 worksheet-formula references were wrong, now fixed. Full findings in /passress-mis/PHASE6_PRODUCTION_READINESS_REVIEW.md; what's new in /passress-mis/PHASE6_DOCUMENTATION.md.</t>
        </is>
      </c>
    </row>
    <row r="44">
      <c r="B44" s="30" t="inlineStr">
        <is>
          <t>7.0</t>
        </is>
      </c>
      <c r="C44" s="30" t="inlineStr">
        <is>
          <t>2026-07-26</t>
        </is>
      </c>
      <c r="D44" s="30" t="inlineStr">
        <is>
          <t>Phase 7 — Production Readiness Certification</t>
        </is>
      </c>
      <c r="E44" s="30" t="inlineStr">
        <is>
          <t>Full line-by-line review of build_workbook.py, every Power Query shared function, a representative cross-section of staging/star-schema queries, and the complete DAX measure library, against explicit correctness/performance/security criteria. Found and fixed 5 real defects: BI_Alerts ALT-10's stray placeholder-token formula (simplified, no functional change but removed a maintenance trap); 14_Data_Quality's Historical Refresh Trend chart was off-by-one, silently dropping the first logged refresh; BI_Insights' INS-06/INS-07 (Best/Weakest seller) called CUBERANKEDMEMBER against an unordered, unranked MDX set, so both insights always showed the identical arbitrary product instead of true sales-ranked results — fixed with proper CUBESET-backed ranking (BDESC/BASC by Net Sales), the same pattern used everywhere else in the workbook; 01_Home's and 14_Data_Quality's Last Refresh/Data Quality/Rows Loaded/Errors Found KPI cards were left as static Phase 1 placeholders despite their own doc_block promising live LOG_ data — wired to existing LOG_RefreshHistory/LOG_DataQuality/OverallDataQualityPct sources, no new measures. Also corrected the now-inaccurate 'Placeholder, built in Phase 4' label on 04_Sales/06_Customers/07_Inventory/09_Profitability/13_Marketing/05_Products/08_Finance's still-unbuilt generic dashboard chart/PivotTable placeholders — deliberately left unbuilt (never commissioned by any phase's brief, and wiring their KPI cards would require inventing new DAX measures outside this phase's 'no new features' scope) but the stale phase-attribution text was actively misleading and is now accurate. Four new documentation deliverables: DEPLOYMENT_GUIDE.md, OPERATIONS_MANUAL.md, TECHNICAL_DOCUMENTATION.md, and PHASE7_FINAL_ARCHITECTURE_REVIEW.md (technical debt, performance/security review, SQL Server + Power BI migration path). No architecture changes, no new dashboards or modules — additive fixes and documentation only, per this phase's explicit scope.</t>
        </is>
      </c>
    </row>
    <row r="45">
      <c r="B45" s="30" t="inlineStr">
        <is>
          <t>8.0</t>
        </is>
      </c>
      <c r="C45" s="30" t="inlineStr">
        <is>
          <t>2026-07-26</t>
        </is>
      </c>
      <c r="D45" s="30" t="inlineStr">
        <is>
          <t>Phase 8 — Placeholder Completion (Reuse-Only)</t>
        </is>
      </c>
      <c r="E45" s="30" t="inlineStr">
        <is>
          <t>Completed every remaining placeholder KPI card, chart, and 'PivotTable' substitute that could be built from the existing Power Query layer, Data Model, and DAX measure library — architecture frozen, no new measures, no new KPIs, no new dashboards, per this phase's explicit scope. 04_Sales/05_Products/06_Customers/07_Inventory/08_Finance/09_Profitability/13_Marketing rebuilt: 20 of 28 KPI cards wired to existing measures, 6 new native charts (Sales/Stock/Margin/Discount trends, a 3-series P&amp;L Trend, a Top-10-Products bar chart), 12 CUBE-function breakdown tables standing in for a PivotTable (Sales/Margin by Product/Collection, Stock by Location, Top Customers, Geography, etc. — a new add_cube_breakdown_table helper generalizing Phase 5's add_cube_top_n to multiple measure columns, same underlying mechanism), P&amp;L Statement and Cash Flow Statement built directly from dax/MEASURES.md §1/§3's own documented measure maps. 10_Expenses/11_Capital/12_Suppliers' own unwired KPI cards (missed by Phase 7's sweep, caught in this phase's fuller scan) also completed — 6 of 12 wired, 3 of them reusing RPT_Workflow's own existing formulas verbatim. Order List and Variant Detail (row-level detail no CUBE function can produce) linked directly to RAW_Orders/DIM_Product instead of left blank. Every remaining gap (13 KPI cards, 4 chart/pivot items) is left as a visible, specific 'Not implementable: &lt;reason&gt;' note in the workbook itself, not just in documentation — no existing measure covers the concept, no Data Model dimension exists for the breakdown, the data is row-level and can't be produced by a CUBE function, or (Customer Cohorts alone) the underlying data exists but a true 2D matrix needs an execution-untestable nested-MDX pattern. Full inventory in /passress-mis/PHASE8_DOCUMENTATION.md. Second full scan after all fixes: 0 static placeholder cells, 0 generic placeholder boxes remaining, all structural validation clean.</t>
        </is>
      </c>
    </row>
    <row r="46">
      <c r="B46" s="30" t="inlineStr">
        <is>
          <t>9.0</t>
        </is>
      </c>
      <c r="C46" s="30" t="inlineStr">
        <is>
          <t>2026-07-26</t>
        </is>
      </c>
      <c r="D46" s="30" t="inlineStr">
        <is>
          <t>Phase 9 — File-Corruption Hotfix (Real-World Test Finding)</t>
        </is>
      </c>
      <c r="E46" s="30" t="inlineStr">
        <is>
          <t>Triggered by the first real Windows Excel open of this workbook, which required a repair just to load ('Removed Records: Named range from workbook.xml' + 'Formula from sheet5/10/12.xml' — confirmed via workbook.xml.rels to be 05_Products/10_Expenses/12_Suppliers, the three sheets sourcing SKU/Collection dropdowns from SKUList/CollectionTitleList). Root cause: those two named ranges (and several worksheet formulas in BI_Alerts, 14_Data_Quality, RPT_Workflow, 01_Home added in Phases 6-8) pointed at the POST-WIRING table name (RAW_Variants, LOG_DataQuality, etc.) rather than the always-present tbl_-prefixed placeholder — a Phase 6 design choice that assumed an unresolved reference would simply show a formula error until Power Query is wired. A real Excel open proved otherwise: a workbook-scoped defined name referencing a table that doesn't exist ANYWHERE in the file is structurally invalid at load time, not just unresolved at calculation time, so Excel strips the name and every Data Validation dropdown depending on it, forcing a file repair. Reverted every affected named range and worksheet formula back to the tbl_-prefixed placeholder name (DAX measures untouched — they read the Data Model, not Excel Table objects, so were never affected). A second, related finding from the same stricter validation: 14_Data_Quality's Missing Supplier check referenced DIM_Product directly, and DIM_/FACT_ tables go through the identical placeholder-until-wired lifecycle as RAW_/LOG_ (dax/README.md Step 1) — fixed to tbl_DIM_Product. Added a permanent build-time check verifying every defined name and every Table[Column] formula reference resolves to a table that actually exists in the generated file — 0 issues found after the fix (previously no such check existed; bracket-balance/XML-well-formedness checks don't catch a semantically invalid table reference). New required manual step added to DEPLOYMENT_GUIDE.md §5.4: rename SKUList/CollectionTitleList via Name Manager to drop the tbl_ prefix once RAW_Variants/RAW_Collections are actually wired — documented as a one-time, unmissable step rather than left to be silently forgotten. Full findings in /passress-mis/PHASE9_DOCUMENTATION.md; PHASE6_PRODUCTION_READINESS_REVIEW.md's original (superseded) fix table annotated, not rewritten.</t>
        </is>
      </c>
    </row>
    <row r="47">
      <c r="B47" s="30" t="inlineStr">
        <is>
          <t>9.1</t>
        </is>
      </c>
      <c r="C47" s="30" t="inlineStr">
        <is>
          <t>2026-07-26</t>
        </is>
      </c>
      <c r="D47" s="30" t="inlineStr">
        <is>
          <t>Phase 9 Addendum — Chart Category Type Fix</t>
        </is>
      </c>
      <c r="E47" s="30" t="inlineStr">
        <is>
          <t>A repair prompt was still reported after 9.0's fix, on a fresh Desktop Excel open. Investigated by reading the generated chart XML directly (LibreOffice was tried as an independent second validator but is unusable in this build environment — fails to load even a trivial one-cell test workbook, an environment limitation unrelated to this file). Finding: all 9 charts have text-valued category axes (month labels from a TEXT() formula, or product/customer names from CUBERANKEDMEMBER) but openpyxl's Chart.set_categories() unconditionally writes a numeric reference (&lt;c:numRef&gt;) regardless of the referenced cells' actual content — confirmed by reading openpyxl's own source. Present since the charting pattern was first used in Phase 5, not something Phase 8 introduced; only became visible once the file was actually tested against a repair-capable Desktop Excel. Fixed with a new set_text_categories() helper that builds each chart's category axis explicitly as a string reference (AxDataSource(strRef=StrRef(...))) instead — applied in all three chart-building functions. Verified in the regenerated file: every chart*.xml part now uses &lt;c:strRef&gt; for its category axis. Documented honestly as NOT yet confirmed to be the full explanation for the second repair report (no detailed repair log was available for this occurrence, unlike 9.0's) — a real, independent, spec-level defect fixed on its own merits; the next diagnostic step if a repair prompt still appears is the detailed 'Removed Records' log, not further speculation. Full addendum in /passress-mis/PHASE9_DOCUMENTATION.md §7.</t>
        </is>
      </c>
    </row>
    <row r="50">
      <c r="B50" s="11" t="inlineStr">
        <is>
          <t>MASTER DATA LOOKUP TABLES  (orange cells = configurable — edit freely, every dropdown in the workbook reads from here)</t>
        </is>
      </c>
    </row>
    <row r="51" ht="16" customHeight="1">
      <c r="B51" s="55" t="inlineStr">
        <is>
          <t>Expense Category</t>
        </is>
      </c>
    </row>
    <row r="52">
      <c r="B52" s="57" t="inlineStr">
        <is>
          <t>Rent</t>
        </is>
      </c>
    </row>
    <row r="53">
      <c r="B53" s="57" t="inlineStr">
        <is>
          <t>Utilities</t>
        </is>
      </c>
    </row>
    <row r="54">
      <c r="B54" s="57" t="inlineStr">
        <is>
          <t>Salaries</t>
        </is>
      </c>
    </row>
    <row r="55">
      <c r="B55" s="57" t="inlineStr">
        <is>
          <t>Marketing</t>
        </is>
      </c>
    </row>
    <row r="56">
      <c r="B56" s="57" t="inlineStr">
        <is>
          <t>Shipping &amp; Logistics</t>
        </is>
      </c>
    </row>
    <row r="57">
      <c r="B57" s="57" t="inlineStr">
        <is>
          <t>Packaging</t>
        </is>
      </c>
    </row>
    <row r="58">
      <c r="B58" s="57" t="inlineStr">
        <is>
          <t>Software &amp; Subscriptions</t>
        </is>
      </c>
    </row>
    <row r="59">
      <c r="B59" s="57" t="inlineStr">
        <is>
          <t>Professional Fees</t>
        </is>
      </c>
    </row>
    <row r="60">
      <c r="B60" s="57" t="inlineStr">
        <is>
          <t>Bank Charges</t>
        </is>
      </c>
    </row>
    <row r="61">
      <c r="B61" s="57" t="inlineStr">
        <is>
          <t>Other</t>
        </is>
      </c>
    </row>
    <row r="63" ht="16" customHeight="1">
      <c r="B63" s="55" t="inlineStr">
        <is>
          <t>Expense Subcategory</t>
        </is>
      </c>
    </row>
    <row r="64">
      <c r="B64" s="57" t="inlineStr">
        <is>
          <t>General</t>
        </is>
      </c>
    </row>
    <row r="65">
      <c r="B65" s="57" t="inlineStr">
        <is>
          <t>Office</t>
        </is>
      </c>
    </row>
    <row r="66">
      <c r="B66" s="57" t="inlineStr">
        <is>
          <t>Warehouse</t>
        </is>
      </c>
    </row>
    <row r="67">
      <c r="B67" s="57" t="inlineStr">
        <is>
          <t>Online Ads</t>
        </is>
      </c>
    </row>
    <row r="68">
      <c r="B68" s="57" t="inlineStr">
        <is>
          <t>Influencer</t>
        </is>
      </c>
    </row>
    <row r="69">
      <c r="B69" s="57" t="inlineStr">
        <is>
          <t>Photography</t>
        </is>
      </c>
    </row>
    <row r="70">
      <c r="B70" s="57" t="inlineStr">
        <is>
          <t>Courier</t>
        </is>
      </c>
    </row>
    <row r="71">
      <c r="B71" s="57" t="inlineStr">
        <is>
          <t>Customs &amp; Duties</t>
        </is>
      </c>
    </row>
    <row r="72">
      <c r="B72" s="57" t="inlineStr">
        <is>
          <t>Software License</t>
        </is>
      </c>
    </row>
    <row r="73">
      <c r="B73" s="57" t="inlineStr">
        <is>
          <t>Legal</t>
        </is>
      </c>
    </row>
    <row r="74">
      <c r="B74" s="57" t="inlineStr">
        <is>
          <t>Accounting</t>
        </is>
      </c>
    </row>
    <row r="75">
      <c r="B75" s="57" t="inlineStr">
        <is>
          <t>Other</t>
        </is>
      </c>
    </row>
    <row r="77" ht="16" customHeight="1">
      <c r="B77" s="55" t="inlineStr">
        <is>
          <t>Cost Center</t>
        </is>
      </c>
    </row>
    <row r="78">
      <c r="B78" s="57" t="inlineStr">
        <is>
          <t>Head Office</t>
        </is>
      </c>
    </row>
    <row r="79">
      <c r="B79" s="57" t="inlineStr">
        <is>
          <t>Warehouse</t>
        </is>
      </c>
    </row>
    <row r="80">
      <c r="B80" s="57" t="inlineStr">
        <is>
          <t>E-Commerce</t>
        </is>
      </c>
    </row>
    <row r="81">
      <c r="B81" s="57" t="inlineStr">
        <is>
          <t>Marketing</t>
        </is>
      </c>
    </row>
    <row r="82">
      <c r="B82" s="57" t="inlineStr">
        <is>
          <t>Production</t>
        </is>
      </c>
    </row>
    <row r="84" ht="16" customHeight="1">
      <c r="B84" s="55" t="inlineStr">
        <is>
          <t>Payment Method</t>
        </is>
      </c>
    </row>
    <row r="85">
      <c r="B85" s="57" t="inlineStr">
        <is>
          <t>Bank Transfer</t>
        </is>
      </c>
    </row>
    <row r="86">
      <c r="B86" s="57" t="inlineStr">
        <is>
          <t>Cash</t>
        </is>
      </c>
    </row>
    <row r="87">
      <c r="B87" s="57" t="inlineStr">
        <is>
          <t>Credit Card</t>
        </is>
      </c>
    </row>
    <row r="88">
      <c r="B88" s="57" t="inlineStr">
        <is>
          <t>Instapay</t>
        </is>
      </c>
    </row>
    <row r="89">
      <c r="B89" s="57" t="inlineStr">
        <is>
          <t>Cheque</t>
        </is>
      </c>
    </row>
    <row r="90">
      <c r="B90" s="57" t="inlineStr">
        <is>
          <t>Other</t>
        </is>
      </c>
    </row>
    <row r="92" ht="16" customHeight="1">
      <c r="B92" s="55" t="inlineStr">
        <is>
          <t>Currency</t>
        </is>
      </c>
    </row>
    <row r="93">
      <c r="B93" s="57" t="inlineStr">
        <is>
          <t>EGP</t>
        </is>
      </c>
    </row>
    <row r="94">
      <c r="B94" s="57" t="inlineStr">
        <is>
          <t>USD</t>
        </is>
      </c>
    </row>
    <row r="95">
      <c r="B95" s="57" t="inlineStr">
        <is>
          <t>EUR</t>
        </is>
      </c>
    </row>
    <row r="96">
      <c r="B96" s="57" t="inlineStr">
        <is>
          <t>GBP</t>
        </is>
      </c>
    </row>
    <row r="98" ht="16" customHeight="1">
      <c r="B98" s="55" t="inlineStr">
        <is>
          <t>Supplier Type</t>
        </is>
      </c>
    </row>
    <row r="99">
      <c r="B99" s="57" t="inlineStr">
        <is>
          <t>Fabric</t>
        </is>
      </c>
    </row>
    <row r="100">
      <c r="B100" s="57" t="inlineStr">
        <is>
          <t>Accessories</t>
        </is>
      </c>
    </row>
    <row r="101">
      <c r="B101" s="57" t="inlineStr">
        <is>
          <t>Manufacturing</t>
        </is>
      </c>
    </row>
    <row r="102">
      <c r="B102" s="57" t="inlineStr">
        <is>
          <t>Packaging</t>
        </is>
      </c>
    </row>
    <row r="103">
      <c r="B103" s="57" t="inlineStr">
        <is>
          <t>Logistics</t>
        </is>
      </c>
    </row>
    <row r="104">
      <c r="B104" s="57" t="inlineStr">
        <is>
          <t>Marketing Agency</t>
        </is>
      </c>
    </row>
    <row r="105">
      <c r="B105" s="57" t="inlineStr">
        <is>
          <t>Software Vendor</t>
        </is>
      </c>
    </row>
    <row r="106">
      <c r="B106" s="57" t="inlineStr">
        <is>
          <t>Other</t>
        </is>
      </c>
    </row>
    <row r="108" ht="16" customHeight="1">
      <c r="B108" s="55" t="inlineStr">
        <is>
          <t>Supplier Status</t>
        </is>
      </c>
    </row>
    <row r="109">
      <c r="B109" s="57" t="inlineStr">
        <is>
          <t>Active</t>
        </is>
      </c>
    </row>
    <row r="110">
      <c r="B110" s="57" t="inlineStr">
        <is>
          <t>Inactive</t>
        </is>
      </c>
    </row>
    <row r="111">
      <c r="B111" s="57" t="inlineStr">
        <is>
          <t>On Hold</t>
        </is>
      </c>
    </row>
    <row r="113" ht="16" customHeight="1">
      <c r="B113" s="55" t="inlineStr">
        <is>
          <t>Capital Transaction Type</t>
        </is>
      </c>
    </row>
    <row r="114">
      <c r="B114" s="57" t="inlineStr">
        <is>
          <t>Capital Contribution</t>
        </is>
      </c>
    </row>
    <row r="115">
      <c r="B115" s="57" t="inlineStr">
        <is>
          <t>Capital Withdrawal</t>
        </is>
      </c>
    </row>
    <row r="117" ht="16" customHeight="1">
      <c r="B117" s="55" t="inlineStr">
        <is>
          <t>PO Status</t>
        </is>
      </c>
    </row>
    <row r="118">
      <c r="B118" s="57" t="inlineStr">
        <is>
          <t>Draft</t>
        </is>
      </c>
    </row>
    <row r="119">
      <c r="B119" s="57" t="inlineStr">
        <is>
          <t>Approved</t>
        </is>
      </c>
    </row>
    <row r="120">
      <c r="B120" s="57" t="inlineStr">
        <is>
          <t>Sent</t>
        </is>
      </c>
    </row>
    <row r="121">
      <c r="B121" s="57" t="inlineStr">
        <is>
          <t>Partially Received</t>
        </is>
      </c>
    </row>
    <row r="122">
      <c r="B122" s="57" t="inlineStr">
        <is>
          <t>Received</t>
        </is>
      </c>
    </row>
    <row r="123">
      <c r="B123" s="57" t="inlineStr">
        <is>
          <t>Closed</t>
        </is>
      </c>
    </row>
    <row r="124">
      <c r="B124" s="57" t="inlineStr">
        <is>
          <t>Cancelled</t>
        </is>
      </c>
    </row>
    <row r="126" ht="16" customHeight="1">
      <c r="B126" s="55" t="inlineStr">
        <is>
          <t>Warehouse</t>
        </is>
      </c>
    </row>
    <row r="127">
      <c r="B127" s="57" t="inlineStr">
        <is>
          <t>Main Warehouse</t>
        </is>
      </c>
    </row>
    <row r="128">
      <c r="B128" s="57" t="inlineStr">
        <is>
          <t>Retail Store</t>
        </is>
      </c>
    </row>
    <row r="129">
      <c r="B129" s="57" t="inlineStr">
        <is>
          <t>Third-Party Logistics</t>
        </is>
      </c>
    </row>
    <row r="131" ht="16" customHeight="1">
      <c r="B131" s="55" t="inlineStr">
        <is>
          <t>Owner</t>
        </is>
      </c>
    </row>
    <row r="132">
      <c r="B132" s="57" t="inlineStr">
        <is>
          <t>Founder</t>
        </is>
      </c>
    </row>
    <row r="134" ht="16" customHeight="1">
      <c r="B134" s="55" t="inlineStr">
        <is>
          <t>Budget Period</t>
        </is>
      </c>
    </row>
    <row r="135">
      <c r="B135" s="57" t="inlineStr">
        <is>
          <t>Monthly</t>
        </is>
      </c>
    </row>
    <row r="136">
      <c r="B136" s="57" t="inlineStr">
        <is>
          <t>Yearly</t>
        </is>
      </c>
    </row>
    <row r="138" ht="16" customHeight="1">
      <c r="B138" s="55" t="inlineStr">
        <is>
          <t>Budget Category</t>
        </is>
      </c>
    </row>
    <row r="139">
      <c r="B139" s="57" t="inlineStr">
        <is>
          <t>Revenue</t>
        </is>
      </c>
    </row>
    <row r="140">
      <c r="B140" s="57" t="inlineStr">
        <is>
          <t>Expense</t>
        </is>
      </c>
    </row>
    <row r="141">
      <c r="B141" s="57" t="inlineStr">
        <is>
          <t>Marketing</t>
        </is>
      </c>
    </row>
    <row r="142">
      <c r="B142" s="57" t="inlineStr">
        <is>
          <t>Purchasing</t>
        </is>
      </c>
    </row>
    <row r="143">
      <c r="B143" s="57" t="inlineStr">
        <is>
          <t>Profit</t>
        </is>
      </c>
    </row>
    <row r="145" ht="16" customHeight="1">
      <c r="B145" s="55" t="inlineStr">
        <is>
          <t>Alert Severity</t>
        </is>
      </c>
    </row>
    <row r="146">
      <c r="B146" s="57" t="inlineStr">
        <is>
          <t>Info</t>
        </is>
      </c>
    </row>
    <row r="147">
      <c r="B147" s="57" t="inlineStr">
        <is>
          <t>Warning</t>
        </is>
      </c>
    </row>
    <row r="148">
      <c r="B148" s="57" t="inlineStr">
        <is>
          <t>Critical</t>
        </is>
      </c>
    </row>
    <row r="151">
      <c r="B151" s="11" t="inlineStr">
        <is>
          <t>KPI TARGETS  (green Target Value cells = type here)</t>
        </is>
      </c>
    </row>
    <row r="152" ht="18" customHeight="1">
      <c r="B152" s="39" t="inlineStr">
        <is>
          <t>KPI Name</t>
        </is>
      </c>
      <c r="C152" s="39" t="inlineStr">
        <is>
          <t>Target Value</t>
        </is>
      </c>
      <c r="D152" s="39" t="inlineStr">
        <is>
          <t>Unit</t>
        </is>
      </c>
      <c r="E152" s="39" t="inlineStr">
        <is>
          <t>Period</t>
        </is>
      </c>
      <c r="F152" s="39" t="inlineStr">
        <is>
          <t>Notes</t>
        </is>
      </c>
    </row>
    <row r="153">
      <c r="B153" s="30" t="inlineStr">
        <is>
          <t>Sales Target</t>
        </is>
      </c>
      <c r="C153" s="58" t="n">
        <v>500000</v>
      </c>
      <c r="D153" s="30" t="inlineStr">
        <is>
          <t>EGP</t>
        </is>
      </c>
      <c r="E153" s="58" t="inlineStr">
        <is>
          <t>Monthly</t>
        </is>
      </c>
      <c r="F153" s="30" t="inlineStr">
        <is>
          <t>Net Sales target</t>
        </is>
      </c>
    </row>
    <row r="154">
      <c r="B154" s="30" t="inlineStr">
        <is>
          <t>Margin Target</t>
        </is>
      </c>
      <c r="C154" s="58" t="n">
        <v>0.55</v>
      </c>
      <c r="D154" s="30" t="inlineStr">
        <is>
          <t>%</t>
        </is>
      </c>
      <c r="E154" s="58" t="inlineStr">
        <is>
          <t>Monthly</t>
        </is>
      </c>
      <c r="F154" s="30" t="inlineStr">
        <is>
          <t>Gross Margin % target</t>
        </is>
      </c>
    </row>
    <row r="155">
      <c r="B155" s="30" t="inlineStr">
        <is>
          <t>Orders Target</t>
        </is>
      </c>
      <c r="C155" s="58" t="n">
        <v>400</v>
      </c>
      <c r="D155" s="30" t="inlineStr">
        <is>
          <t>Count</t>
        </is>
      </c>
      <c r="E155" s="58" t="inlineStr">
        <is>
          <t>Monthly</t>
        </is>
      </c>
      <c r="F155" s="30" t="inlineStr">
        <is>
          <t>Order Count target</t>
        </is>
      </c>
    </row>
    <row r="156">
      <c r="B156" s="30" t="inlineStr">
        <is>
          <t>Inventory Target</t>
        </is>
      </c>
      <c r="C156" s="58" t="n">
        <v>300000</v>
      </c>
      <c r="D156" s="30" t="inlineStr">
        <is>
          <t>EGP</t>
        </is>
      </c>
      <c r="E156" s="58" t="inlineStr">
        <is>
          <t>Monthly</t>
        </is>
      </c>
      <c r="F156" s="30" t="inlineStr">
        <is>
          <t>Inventory Value ceiling (avoid overstock)</t>
        </is>
      </c>
    </row>
    <row r="157">
      <c r="B157" s="30" t="inlineStr">
        <is>
          <t>AOV Target</t>
        </is>
      </c>
      <c r="C157" s="58" t="n">
        <v>1200</v>
      </c>
      <c r="D157" s="30" t="inlineStr">
        <is>
          <t>EGP</t>
        </is>
      </c>
      <c r="E157" s="58" t="inlineStr">
        <is>
          <t>Monthly</t>
        </is>
      </c>
      <c r="F157" s="30" t="inlineStr">
        <is>
          <t>Average Order Value target</t>
        </is>
      </c>
    </row>
    <row r="158">
      <c r="B158" s="30" t="inlineStr">
        <is>
          <t>CAC Target</t>
        </is>
      </c>
      <c r="C158" s="58" t="n">
        <v>150</v>
      </c>
      <c r="D158" s="30" t="inlineStr">
        <is>
          <t>EGP</t>
        </is>
      </c>
      <c r="E158" s="58" t="inlineStr">
        <is>
          <t>Monthly</t>
        </is>
      </c>
      <c r="F158" s="30" t="inlineStr">
        <is>
          <t>Customer Acquisition Cost ceiling — needs Marketing-Ready spend data (Phase 6+) to compute Actual</t>
        </is>
      </c>
    </row>
    <row r="159">
      <c r="B159" s="30" t="inlineStr">
        <is>
          <t>ROAS Target</t>
        </is>
      </c>
      <c r="C159" s="58" t="n">
        <v>4</v>
      </c>
      <c r="D159" s="30" t="inlineStr">
        <is>
          <t>Ratio</t>
        </is>
      </c>
      <c r="E159" s="58" t="inlineStr">
        <is>
          <t>Monthly</t>
        </is>
      </c>
      <c r="F159" s="30" t="inlineStr">
        <is>
          <t>Return on Ad Spend target — needs Marketing-Ready spend data (Phase 6+) to compute Actual</t>
        </is>
      </c>
    </row>
    <row r="160">
      <c r="B160" s="30" t="inlineStr">
        <is>
          <t>Repeat Customer % Target</t>
        </is>
      </c>
      <c r="C160" s="58" t="n">
        <v>0.3</v>
      </c>
      <c r="D160" s="30" t="inlineStr">
        <is>
          <t>%</t>
        </is>
      </c>
      <c r="E160" s="58" t="inlineStr">
        <is>
          <t>Monthly</t>
        </is>
      </c>
      <c r="F160" s="30" t="inlineStr">
        <is>
          <t>Returning Customers / Customers Active target</t>
        </is>
      </c>
    </row>
    <row r="161">
      <c r="B161" s="30" t="inlineStr">
        <is>
          <t>Conversion Rate Target</t>
        </is>
      </c>
      <c r="C161" s="58" t="n">
        <v>0.02</v>
      </c>
      <c r="D161" s="30" t="inlineStr">
        <is>
          <t>%</t>
        </is>
      </c>
      <c r="E161" s="58" t="inlineStr">
        <is>
          <t>Monthly</t>
        </is>
      </c>
      <c r="F161" s="30" t="inlineStr">
        <is>
          <t>Needs Shopify session/traffic data (not fetched — Admin API has no storefront analytics) to compute Actual</t>
        </is>
      </c>
    </row>
    <row r="162">
      <c r="B162" s="30" t="inlineStr">
        <is>
          <t>Inventory Turnover Target</t>
        </is>
      </c>
      <c r="C162" s="58" t="n">
        <v>6</v>
      </c>
      <c r="D162" s="30" t="inlineStr">
        <is>
          <t>Ratio</t>
        </is>
      </c>
      <c r="E162" s="58" t="inlineStr">
        <is>
          <t>Yearly</t>
        </is>
      </c>
      <c r="F162" s="30" t="inlineStr">
        <is>
          <t>COGS / Average Inventory Value target</t>
        </is>
      </c>
    </row>
    <row r="165">
      <c r="B165" s="11" t="inlineStr">
        <is>
          <t>BUSINESS HEALTH SCORE WEIGHTS  (green cells = type here — must be numeric, any scale)</t>
        </is>
      </c>
    </row>
    <row r="166" ht="18" customHeight="1">
      <c r="B166" s="39" t="inlineStr">
        <is>
          <t>Component</t>
        </is>
      </c>
      <c r="C166" s="39" t="inlineStr">
        <is>
          <t>Weight</t>
        </is>
      </c>
    </row>
    <row r="167">
      <c r="B167" s="30" t="inlineStr">
        <is>
          <t>Revenue Growth</t>
        </is>
      </c>
      <c r="C167" s="58" t="n">
        <v>15</v>
      </c>
    </row>
    <row r="168">
      <c r="B168" s="30" t="inlineStr">
        <is>
          <t>Gross Margin</t>
        </is>
      </c>
      <c r="C168" s="58" t="n">
        <v>15</v>
      </c>
    </row>
    <row r="169">
      <c r="B169" s="30" t="inlineStr">
        <is>
          <t>Cash Position</t>
        </is>
      </c>
      <c r="C169" s="58" t="n">
        <v>15</v>
      </c>
    </row>
    <row r="170">
      <c r="B170" s="30" t="inlineStr">
        <is>
          <t>Inventory Health</t>
        </is>
      </c>
      <c r="C170" s="58" t="n">
        <v>10</v>
      </c>
    </row>
    <row r="171">
      <c r="B171" s="30" t="inlineStr">
        <is>
          <t>Customer Growth</t>
        </is>
      </c>
      <c r="C171" s="58" t="n">
        <v>10</v>
      </c>
    </row>
    <row r="172">
      <c r="B172" s="30" t="inlineStr">
        <is>
          <t>Repeat Customers</t>
        </is>
      </c>
      <c r="C172" s="58" t="n">
        <v>10</v>
      </c>
    </row>
    <row r="173">
      <c r="B173" s="30" t="inlineStr">
        <is>
          <t>Return Rate</t>
        </is>
      </c>
      <c r="C173" s="58" t="n">
        <v>10</v>
      </c>
    </row>
    <row r="174">
      <c r="B174" s="30" t="inlineStr">
        <is>
          <t>Budget Performance</t>
        </is>
      </c>
      <c r="C174" s="58" t="n">
        <v>5</v>
      </c>
    </row>
    <row r="175">
      <c r="B175" s="30" t="inlineStr">
        <is>
          <t>Data Quality</t>
        </is>
      </c>
      <c r="C175" s="58" t="n">
        <v>5</v>
      </c>
    </row>
    <row r="176">
      <c r="B176" s="30" t="inlineStr">
        <is>
          <t>Alerts</t>
        </is>
      </c>
      <c r="C176" s="58" t="n">
        <v>5</v>
      </c>
    </row>
    <row r="179">
      <c r="B179" s="11" t="inlineStr">
        <is>
          <t>HOLIDAYS  (green cells = type here — optional, empty by default)</t>
        </is>
      </c>
    </row>
    <row r="180" ht="18" customHeight="1">
      <c r="B180" s="39" t="inlineStr">
        <is>
          <t>Date</t>
        </is>
      </c>
      <c r="C180" s="39" t="inlineStr">
        <is>
          <t>Holiday Name</t>
        </is>
      </c>
    </row>
    <row r="181">
      <c r="B181" s="40" t="n"/>
      <c r="C181" s="40" t="inlineStr">
        <is>
          <t>EXAMPLE — delete or overwrite this row; leave the table empty if no holidays apply</t>
        </is>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1:D1"/>
    <mergeCell ref="B5:D5"/>
    <mergeCell ref="B8:D8"/>
    <mergeCell ref="A3:D3"/>
    <mergeCell ref="B4:D4"/>
    <mergeCell ref="A2:D2"/>
    <mergeCell ref="B7:D7"/>
    <mergeCell ref="B6:D6"/>
  </mergeCells>
  <dataValidations count="1">
    <dataValidation sqref="E153:E162" showDropDown="0" showInputMessage="1" showErrorMessage="1" allowBlank="1" errorTitle="Invalid entry" error="Please choose a value from the Period list — free text isn't accepted here." promptTitle="Period" prompt="Monthly or Yearly." type="list" errorStyle="stop">
      <formula1>=LookupBudgetPeriod</formula1>
    </dataValidation>
  </dataValidations>
  <hyperlinks>
    <hyperlink xmlns:r="http://schemas.openxmlformats.org/officeDocument/2006/relationships" ref="A2" r:id="rId1"/>
  </hyperlinks>
  <pageMargins left="0.75" right="0.75" top="1" bottom="1" header="0.5" footer="0.5"/>
  <tableParts count="19">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s>
</worksheet>
</file>

<file path=xl/worksheets/sheet16.xml><?xml version="1.0" encoding="utf-8"?>
<worksheet xmlns="http://schemas.openxmlformats.org/spreadsheetml/2006/main">
  <sheetPr>
    <tabColor rgb="000070C0"/>
    <outlinePr applyStyles="1" summaryBelow="0" summaryRight="1"/>
    <pageSetUpPr/>
  </sheetPr>
  <dimension ref="A1:N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4" customHeight="1">
      <c r="A1" s="1" t="inlineStr">
        <is>
          <t>RAW_Orders</t>
        </is>
      </c>
    </row>
    <row r="2" ht="16" customHeight="1">
      <c r="A2" s="17" t="inlineStr">
        <is>
          <t>PASSRESS MIS   |   Home ▸ RAW_Orders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Orders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passress-mis/power-query/staging/RAW_Orders.pq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OrderID</t>
        </is>
      </c>
      <c r="C11" s="59" t="inlineStr">
        <is>
          <t>OrderNumber</t>
        </is>
      </c>
      <c r="D11" s="59" t="inlineStr">
        <is>
          <t>CreatedAt</t>
        </is>
      </c>
      <c r="E11" s="59" t="inlineStr">
        <is>
          <t>UpdatedAt</t>
        </is>
      </c>
      <c r="F11" s="59" t="inlineStr">
        <is>
          <t>FinancialStatus</t>
        </is>
      </c>
      <c r="G11" s="59" t="inlineStr">
        <is>
          <t>FulfillmentStatus</t>
        </is>
      </c>
      <c r="H11" s="59" t="inlineStr">
        <is>
          <t>Currency</t>
        </is>
      </c>
      <c r="I11" s="59" t="inlineStr">
        <is>
          <t>TotalPrice</t>
        </is>
      </c>
      <c r="J11" s="59" t="inlineStr">
        <is>
          <t>SubtotalPrice</t>
        </is>
      </c>
      <c r="K11" s="59" t="inlineStr">
        <is>
          <t>TotalDiscounts</t>
        </is>
      </c>
      <c r="L11" s="59" t="inlineStr">
        <is>
          <t>TotalTax</t>
        </is>
      </c>
      <c r="M11" s="59" t="inlineStr">
        <is>
          <t>CustomerID</t>
        </is>
      </c>
      <c r="N11" s="59" t="inlineStr">
        <is>
          <t>LocationID</t>
        </is>
      </c>
    </row>
    <row r="12">
      <c r="B12" s="60" t="n"/>
      <c r="C12" s="60" t="n"/>
      <c r="D12" s="60" t="n"/>
      <c r="E12" s="60" t="n"/>
      <c r="F12" s="60" t="n"/>
      <c r="G12" s="60" t="n"/>
      <c r="H12" s="60" t="n"/>
      <c r="I12" s="60" t="n"/>
      <c r="J12" s="60" t="n"/>
      <c r="K12" s="60" t="n"/>
      <c r="L12" s="60" t="n"/>
      <c r="M12" s="60" t="n"/>
      <c r="N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5:N5"/>
    <mergeCell ref="A3:N3"/>
    <mergeCell ref="B8:N8"/>
    <mergeCell ref="B4:N4"/>
    <mergeCell ref="A2:N2"/>
    <mergeCell ref="B7:N7"/>
    <mergeCell ref="B6:N6"/>
    <mergeCell ref="A1:N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7.xml><?xml version="1.0" encoding="utf-8"?>
<worksheet xmlns="http://schemas.openxmlformats.org/spreadsheetml/2006/main">
  <sheetPr>
    <tabColor rgb="000070C0"/>
    <outlinePr applyStyles="1" summaryBelow="0" summaryRight="1"/>
    <pageSetUpPr/>
  </sheetPr>
  <dimension ref="A1:K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4" customHeight="1">
      <c r="A1" s="1" t="inlineStr">
        <is>
          <t>RAW_OrderLines</t>
        </is>
      </c>
    </row>
    <row r="2" ht="16" customHeight="1">
      <c r="A2" s="17" t="inlineStr">
        <is>
          <t>PASSRESS MIS   |   Home ▸ RAW_OrderLines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OrderLines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passress-mis/power-query/staging/RAW_OrderLines.pq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LineItemID</t>
        </is>
      </c>
      <c r="C11" s="59" t="inlineStr">
        <is>
          <t>OrderID</t>
        </is>
      </c>
      <c r="D11" s="59" t="inlineStr">
        <is>
          <t>ProductID</t>
        </is>
      </c>
      <c r="E11" s="59" t="inlineStr">
        <is>
          <t>VariantID</t>
        </is>
      </c>
      <c r="F11" s="59" t="inlineStr">
        <is>
          <t>SKU</t>
        </is>
      </c>
      <c r="G11" s="59" t="inlineStr">
        <is>
          <t>Title</t>
        </is>
      </c>
      <c r="H11" s="59" t="inlineStr">
        <is>
          <t>Quantity</t>
        </is>
      </c>
      <c r="I11" s="59" t="inlineStr">
        <is>
          <t>UnitPrice</t>
        </is>
      </c>
      <c r="J11" s="59" t="inlineStr">
        <is>
          <t>DiscountAllocated</t>
        </is>
      </c>
      <c r="K11" s="59" t="inlineStr">
        <is>
          <t>TaxAllocated</t>
        </is>
      </c>
    </row>
    <row r="12">
      <c r="B12" s="60" t="n"/>
      <c r="C12" s="60" t="n"/>
      <c r="D12" s="60" t="n"/>
      <c r="E12" s="60" t="n"/>
      <c r="F12" s="60" t="n"/>
      <c r="G12" s="60" t="n"/>
      <c r="H12" s="60" t="n"/>
      <c r="I12" s="60" t="n"/>
      <c r="J12" s="60" t="n"/>
      <c r="K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K8"/>
    <mergeCell ref="A3:K3"/>
    <mergeCell ref="B4:K4"/>
    <mergeCell ref="A2:K2"/>
    <mergeCell ref="B7:K7"/>
    <mergeCell ref="B6:K6"/>
    <mergeCell ref="A1:K1"/>
    <mergeCell ref="B5:K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8.xml><?xml version="1.0" encoding="utf-8"?>
<worksheet xmlns="http://schemas.openxmlformats.org/spreadsheetml/2006/main">
  <sheetPr>
    <tabColor rgb="000070C0"/>
    <outlinePr applyStyles="1" summaryBelow="0" summaryRight="1"/>
    <pageSetUpPr/>
  </sheetPr>
  <dimension ref="A1:K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4" customHeight="1">
      <c r="A1" s="1" t="inlineStr">
        <is>
          <t>RAW_Transactions</t>
        </is>
      </c>
    </row>
    <row r="2" ht="16" customHeight="1">
      <c r="A2" s="17" t="inlineStr">
        <is>
          <t>PASSRESS MIS   |   Home ▸ RAW_Transactions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Transactions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passress-mis/power-query/staging/RAW_Transactions.pq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TransactionID</t>
        </is>
      </c>
      <c r="C11" s="59" t="inlineStr">
        <is>
          <t>OrderID</t>
        </is>
      </c>
      <c r="D11" s="59" t="inlineStr">
        <is>
          <t>Kind</t>
        </is>
      </c>
      <c r="E11" s="59" t="inlineStr">
        <is>
          <t>Status</t>
        </is>
      </c>
      <c r="F11" s="59" t="inlineStr">
        <is>
          <t>Gateway</t>
        </is>
      </c>
      <c r="G11" s="59" t="inlineStr">
        <is>
          <t>AmountShop</t>
        </is>
      </c>
      <c r="H11" s="59" t="inlineStr">
        <is>
          <t>CurrencyShop</t>
        </is>
      </c>
      <c r="I11" s="59" t="inlineStr">
        <is>
          <t>CreatedAt</t>
        </is>
      </c>
      <c r="J11" s="59" t="inlineStr">
        <is>
          <t>ProcessedAt</t>
        </is>
      </c>
      <c r="K11" s="59" t="inlineStr">
        <is>
          <t>Test</t>
        </is>
      </c>
    </row>
    <row r="12">
      <c r="B12" s="60" t="n"/>
      <c r="C12" s="60" t="n"/>
      <c r="D12" s="60" t="n"/>
      <c r="E12" s="60" t="n"/>
      <c r="F12" s="60" t="n"/>
      <c r="G12" s="60" t="n"/>
      <c r="H12" s="60" t="n"/>
      <c r="I12" s="60" t="n"/>
      <c r="J12" s="60" t="n"/>
      <c r="K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K8"/>
    <mergeCell ref="A3:K3"/>
    <mergeCell ref="B4:K4"/>
    <mergeCell ref="A2:K2"/>
    <mergeCell ref="B7:K7"/>
    <mergeCell ref="B6:K6"/>
    <mergeCell ref="A1:K1"/>
    <mergeCell ref="B5:K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19.xml><?xml version="1.0" encoding="utf-8"?>
<worksheet xmlns="http://schemas.openxmlformats.org/spreadsheetml/2006/main">
  <sheetPr>
    <tabColor rgb="000070C0"/>
    <outlinePr applyStyles="1" summaryBelow="0" summaryRight="1"/>
    <pageSetUpPr/>
  </sheetPr>
  <dimension ref="A1:K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4" customHeight="1">
      <c r="A1" s="1" t="inlineStr">
        <is>
          <t>RAW_Refunds</t>
        </is>
      </c>
    </row>
    <row r="2" ht="16" customHeight="1">
      <c r="A2" s="17" t="inlineStr">
        <is>
          <t>PASSRESS MIS   |   Home ▸ RAW_Refunds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Refunds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passress-mis/power-query/staging/RAW_Refunds.pq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RefundLineItemID</t>
        </is>
      </c>
      <c r="C11" s="59" t="inlineStr">
        <is>
          <t>RefundID</t>
        </is>
      </c>
      <c r="D11" s="59" t="inlineStr">
        <is>
          <t>OrderID</t>
        </is>
      </c>
      <c r="E11" s="59" t="inlineStr">
        <is>
          <t>LineItemID</t>
        </is>
      </c>
      <c r="F11" s="59" t="inlineStr">
        <is>
          <t>Quantity</t>
        </is>
      </c>
      <c r="G11" s="59" t="inlineStr">
        <is>
          <t>SubtotalAmount</t>
        </is>
      </c>
      <c r="H11" s="59" t="inlineStr">
        <is>
          <t>TaxAmount</t>
        </is>
      </c>
      <c r="I11" s="59" t="inlineStr">
        <is>
          <t>RefundCreatedAt</t>
        </is>
      </c>
      <c r="J11" s="59" t="inlineStr">
        <is>
          <t>RefundProcessedAt</t>
        </is>
      </c>
      <c r="K11" s="59" t="inlineStr">
        <is>
          <t>Note</t>
        </is>
      </c>
    </row>
    <row r="12">
      <c r="B12" s="60" t="n"/>
      <c r="C12" s="60" t="n"/>
      <c r="D12" s="60" t="n"/>
      <c r="E12" s="60" t="n"/>
      <c r="F12" s="60" t="n"/>
      <c r="G12" s="60" t="n"/>
      <c r="H12" s="60" t="n"/>
      <c r="I12" s="60" t="n"/>
      <c r="J12" s="60" t="n"/>
      <c r="K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K8"/>
    <mergeCell ref="A3:K3"/>
    <mergeCell ref="B4:K4"/>
    <mergeCell ref="A2:K2"/>
    <mergeCell ref="B7:K7"/>
    <mergeCell ref="B6:K6"/>
    <mergeCell ref="A1:K1"/>
    <mergeCell ref="B5:K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0.xml><?xml version="1.0" encoding="utf-8"?>
<worksheet xmlns="http://schemas.openxmlformats.org/spreadsheetml/2006/main">
  <sheetPr>
    <tabColor rgb="000070C0"/>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RAW_Products</t>
        </is>
      </c>
    </row>
    <row r="2" ht="16" customHeight="1">
      <c r="A2" s="17" t="inlineStr">
        <is>
          <t>PASSRESS MIS   |   Home ▸ RAW_Products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Products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passress-mis/power-query/staging/RAW_Products.pq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ProductID</t>
        </is>
      </c>
      <c r="C11" s="59" t="inlineStr">
        <is>
          <t>Title</t>
        </is>
      </c>
      <c r="D11" s="59" t="inlineStr">
        <is>
          <t>ProductType</t>
        </is>
      </c>
      <c r="E11" s="59" t="inlineStr">
        <is>
          <t>Vendor</t>
        </is>
      </c>
      <c r="F11" s="59" t="inlineStr">
        <is>
          <t>CollectionIDs</t>
        </is>
      </c>
      <c r="G11" s="59" t="inlineStr">
        <is>
          <t>CreatedAt</t>
        </is>
      </c>
      <c r="H11" s="59" t="inlineStr">
        <is>
          <t>UpdatedAt</t>
        </is>
      </c>
      <c r="I11" s="59" t="inlineStr">
        <is>
          <t>Status</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1.xml><?xml version="1.0" encoding="utf-8"?>
<worksheet xmlns="http://schemas.openxmlformats.org/spreadsheetml/2006/main">
  <sheetPr>
    <tabColor rgb="000070C0"/>
    <outlinePr applyStyles="1" summaryBelow="0" summaryRight="1"/>
    <pageSetUpPr/>
  </sheetPr>
  <dimension ref="A1:K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ht="34" customHeight="1">
      <c r="A1" s="1" t="inlineStr">
        <is>
          <t>RAW_Variants</t>
        </is>
      </c>
    </row>
    <row r="2" ht="16" customHeight="1">
      <c r="A2" s="17" t="inlineStr">
        <is>
          <t>PASSRESS MIS   |   Home ▸ RAW_Variants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Variants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passress-mis/power-query/staging/RAW_Variants.pq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VariantID</t>
        </is>
      </c>
      <c r="C11" s="59" t="inlineStr">
        <is>
          <t>ProductID</t>
        </is>
      </c>
      <c r="D11" s="59" t="inlineStr">
        <is>
          <t>SKU</t>
        </is>
      </c>
      <c r="E11" s="59" t="inlineStr">
        <is>
          <t>Title</t>
        </is>
      </c>
      <c r="F11" s="59" t="inlineStr">
        <is>
          <t>Price</t>
        </is>
      </c>
      <c r="G11" s="59" t="inlineStr">
        <is>
          <t>CompareAtPrice</t>
        </is>
      </c>
      <c r="H11" s="59" t="inlineStr">
        <is>
          <t>InventoryItemID</t>
        </is>
      </c>
      <c r="I11" s="59" t="inlineStr">
        <is>
          <t>UnitCost</t>
        </is>
      </c>
      <c r="J11" s="59" t="inlineStr">
        <is>
          <t>CreatedAt</t>
        </is>
      </c>
      <c r="K11" s="59" t="inlineStr">
        <is>
          <t>UpdatedAt</t>
        </is>
      </c>
    </row>
    <row r="12">
      <c r="B12" s="60" t="n"/>
      <c r="C12" s="60" t="n"/>
      <c r="D12" s="60" t="n"/>
      <c r="E12" s="60" t="n"/>
      <c r="F12" s="60" t="n"/>
      <c r="G12" s="60" t="n"/>
      <c r="H12" s="60" t="n"/>
      <c r="I12" s="60" t="n"/>
      <c r="J12" s="60" t="n"/>
      <c r="K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K8"/>
    <mergeCell ref="A3:K3"/>
    <mergeCell ref="B4:K4"/>
    <mergeCell ref="A2:K2"/>
    <mergeCell ref="B7:K7"/>
    <mergeCell ref="B6:K6"/>
    <mergeCell ref="A1:K1"/>
    <mergeCell ref="B5:K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2.xml><?xml version="1.0" encoding="utf-8"?>
<worksheet xmlns="http://schemas.openxmlformats.org/spreadsheetml/2006/main">
  <sheetPr>
    <tabColor rgb="000070C0"/>
    <outlinePr applyStyles="1" summaryBelow="0" summaryRight="1"/>
    <pageSetUpPr/>
  </sheetPr>
  <dimension ref="A1:F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s>
  <sheetData>
    <row r="1" ht="34" customHeight="1">
      <c r="A1" s="1" t="inlineStr">
        <is>
          <t>RAW_InventoryLevels</t>
        </is>
      </c>
    </row>
    <row r="2" ht="16" customHeight="1">
      <c r="A2" s="17" t="inlineStr">
        <is>
          <t>PASSRESS MIS   |   Home ▸ RAW_InventoryLevels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InventoryLevels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passress-mis/power-query/staging/RAW_InventoryLevels.pq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InventoryItemID</t>
        </is>
      </c>
      <c r="C11" s="59" t="inlineStr">
        <is>
          <t>SKU</t>
        </is>
      </c>
      <c r="D11" s="59" t="inlineStr">
        <is>
          <t>LocationID</t>
        </is>
      </c>
      <c r="E11" s="59" t="inlineStr">
        <is>
          <t>Available</t>
        </is>
      </c>
      <c r="F11" s="59" t="inlineStr">
        <is>
          <t>UpdatedAt</t>
        </is>
      </c>
    </row>
    <row r="12">
      <c r="B12" s="60" t="n"/>
      <c r="C12" s="60" t="n"/>
      <c r="D12" s="60" t="n"/>
      <c r="E12" s="60" t="n"/>
      <c r="F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4:F4"/>
    <mergeCell ref="A2:F2"/>
    <mergeCell ref="B7:F7"/>
    <mergeCell ref="B6:F6"/>
    <mergeCell ref="A1:F1"/>
    <mergeCell ref="B5:F5"/>
    <mergeCell ref="B8:F8"/>
    <mergeCell ref="A3:F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3.xml><?xml version="1.0" encoding="utf-8"?>
<worksheet xmlns="http://schemas.openxmlformats.org/spreadsheetml/2006/main">
  <sheetPr>
    <tabColor rgb="000070C0"/>
    <outlinePr applyStyles="1" summaryBelow="0" summaryRight="1"/>
    <pageSetUpPr/>
  </sheetPr>
  <dimension ref="A1:J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4" customHeight="1">
      <c r="A1" s="1" t="inlineStr">
        <is>
          <t>RAW_Customers</t>
        </is>
      </c>
    </row>
    <row r="2" ht="16" customHeight="1">
      <c r="A2" s="17" t="inlineStr">
        <is>
          <t>PASSRESS MIS   |   Home ▸ RAW_Customers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Customers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passress-mis/power-query/staging/RAW_Customers.pq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CustomerID</t>
        </is>
      </c>
      <c r="C11" s="59" t="inlineStr">
        <is>
          <t>FirstName</t>
        </is>
      </c>
      <c r="D11" s="59" t="inlineStr">
        <is>
          <t>LastName</t>
        </is>
      </c>
      <c r="E11" s="59" t="inlineStr">
        <is>
          <t>Email</t>
        </is>
      </c>
      <c r="F11" s="59" t="inlineStr">
        <is>
          <t>CreatedAt</t>
        </is>
      </c>
      <c r="G11" s="59" t="inlineStr">
        <is>
          <t>UpdatedAt</t>
        </is>
      </c>
      <c r="H11" s="59" t="inlineStr">
        <is>
          <t>OrdersCount</t>
        </is>
      </c>
      <c r="I11" s="59" t="inlineStr">
        <is>
          <t>TotalSpent</t>
        </is>
      </c>
      <c r="J11" s="59" t="inlineStr">
        <is>
          <t>DefaultAddressCountry</t>
        </is>
      </c>
    </row>
    <row r="12">
      <c r="B12" s="60" t="n"/>
      <c r="C12" s="60" t="n"/>
      <c r="D12" s="60" t="n"/>
      <c r="E12" s="60" t="n"/>
      <c r="F12" s="60" t="n"/>
      <c r="G12" s="60" t="n"/>
      <c r="H12" s="60" t="n"/>
      <c r="I12" s="60" t="n"/>
      <c r="J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7:J7"/>
    <mergeCell ref="A1:J1"/>
    <mergeCell ref="B5:J5"/>
    <mergeCell ref="A3:J3"/>
    <mergeCell ref="B8:J8"/>
    <mergeCell ref="B4:J4"/>
    <mergeCell ref="A2:J2"/>
    <mergeCell ref="B6:J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4.xml><?xml version="1.0" encoding="utf-8"?>
<worksheet xmlns="http://schemas.openxmlformats.org/spreadsheetml/2006/main">
  <sheetPr>
    <tabColor rgb="000070C0"/>
    <outlinePr applyStyles="1" summaryBelow="0" summaryRight="1"/>
    <pageSetUpPr/>
  </sheetPr>
  <dimension ref="A1:D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s>
  <sheetData>
    <row r="1" ht="34" customHeight="1">
      <c r="A1" s="1" t="inlineStr">
        <is>
          <t>RAW_Collections</t>
        </is>
      </c>
    </row>
    <row r="2" ht="16" customHeight="1">
      <c r="A2" s="17" t="inlineStr">
        <is>
          <t>PASSRESS MIS   |   Home ▸ RAW_Collections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Collections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passress-mis/power-query/staging/RAW_Collections.pq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CollectionID</t>
        </is>
      </c>
      <c r="C11" s="59" t="inlineStr">
        <is>
          <t>Title</t>
        </is>
      </c>
      <c r="D11" s="59" t="inlineStr">
        <is>
          <t>Handle</t>
        </is>
      </c>
    </row>
    <row r="12">
      <c r="B12" s="60" t="n"/>
      <c r="C12" s="60" t="n"/>
      <c r="D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1:D1"/>
    <mergeCell ref="B5:D5"/>
    <mergeCell ref="B8:D8"/>
    <mergeCell ref="A3:D3"/>
    <mergeCell ref="B4:D4"/>
    <mergeCell ref="A2:D2"/>
    <mergeCell ref="B7:D7"/>
    <mergeCell ref="B6:D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5.xml><?xml version="1.0" encoding="utf-8"?>
<worksheet xmlns="http://schemas.openxmlformats.org/spreadsheetml/2006/main">
  <sheetPr>
    <tabColor rgb="000070C0"/>
    <outlinePr applyStyles="1" summaryBelow="0" summaryRight="1"/>
    <pageSetUpPr/>
  </sheetPr>
  <dimension ref="A1:M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ht="34" customHeight="1">
      <c r="A1" s="1" t="inlineStr">
        <is>
          <t>RAW_Discounts</t>
        </is>
      </c>
    </row>
    <row r="2" ht="16" customHeight="1">
      <c r="A2" s="17" t="inlineStr">
        <is>
          <t>PASSRESS MIS   |   Home ▸ RAW_Discounts</t>
        </is>
      </c>
    </row>
    <row r="3" ht="14" customHeight="1">
      <c r="A3" s="3" t="inlineStr">
        <is>
          <t>Sheet Documentation  (use the  +  outline control at left to expand)</t>
        </is>
      </c>
    </row>
    <row r="4" hidden="1" outlineLevel="1" ht="13" customHeight="1">
      <c r="A4" s="4" t="inlineStr">
        <is>
          <t>Purpose</t>
        </is>
      </c>
      <c r="B4" s="5" t="inlineStr">
        <is>
          <t>Power Query staging landing zone for the Shopify Discounts resource. Shape-only transforms (type casting, flattening) happen here — no business logic.</t>
        </is>
      </c>
    </row>
    <row r="5" hidden="1" outlineLevel="1" ht="13" customHeight="1">
      <c r="A5" s="4" t="inlineStr">
        <is>
          <t>Input tables</t>
        </is>
      </c>
      <c r="B5" s="5" t="inlineStr">
        <is>
          <t>Shopify Admin GraphQL API, via the fn_ShopifyGraphQL / fn_ShopifyPagedConnection shared functions.</t>
        </is>
      </c>
    </row>
    <row r="6" hidden="1" outlineLevel="1" ht="13" customHeight="1">
      <c r="A6" s="4" t="inlineStr">
        <is>
          <t>Output tables</t>
        </is>
      </c>
      <c r="B6" s="5" t="inlineStr">
        <is>
          <t>Feeds the Data Model fact/dimension tables built from this resource (Phase 3).</t>
        </is>
      </c>
    </row>
    <row r="7" hidden="1" outlineLevel="1" ht="13" customHeight="1">
      <c r="A7" s="4" t="inlineStr">
        <is>
          <t>Relationships</t>
        </is>
      </c>
      <c r="B7" s="5" t="inlineStr">
        <is>
          <t>Connection-only in Excel; loaded to the Data Model, not to a worksheet grid, once wired in Excel.</t>
        </is>
      </c>
    </row>
    <row r="8" hidden="1" outlineLevel="1" ht="13" customHeight="1">
      <c r="A8" s="4" t="inlineStr">
        <is>
          <t>Future data source</t>
        </is>
      </c>
      <c r="B8" s="5" t="inlineStr">
        <is>
          <t>Live now: paste passress-mis/power-query/staging/RAW_Discounts.pq into this query in Excel's Power Query Advanced Editor (Data &gt; Get Data &gt; Launch Power Query Editor &gt; New Query &gt; Blank Query). See passress-mis/power-query/README.md for full setup and passress-mis/power-query/DOCUMENTATION.md for the field-by-field mapping.</t>
        </is>
      </c>
    </row>
    <row r="9" hidden="1" outlineLevel="1"/>
    <row r="10" ht="6" customHeight="1"/>
    <row r="11" ht="18" customHeight="1">
      <c r="B11" s="59" t="inlineStr">
        <is>
          <t>DiscountNodeID</t>
        </is>
      </c>
      <c r="C11" s="59" t="inlineStr">
        <is>
          <t>Typename</t>
        </is>
      </c>
      <c r="D11" s="59" t="inlineStr">
        <is>
          <t>Title</t>
        </is>
      </c>
      <c r="E11" s="59" t="inlineStr">
        <is>
          <t>Status</t>
        </is>
      </c>
      <c r="F11" s="59" t="inlineStr">
        <is>
          <t>Summary</t>
        </is>
      </c>
      <c r="G11" s="59" t="inlineStr">
        <is>
          <t>Code</t>
        </is>
      </c>
      <c r="H11" s="59" t="inlineStr">
        <is>
          <t>StartsAt</t>
        </is>
      </c>
      <c r="I11" s="59" t="inlineStr">
        <is>
          <t>EndsAt</t>
        </is>
      </c>
      <c r="J11" s="59" t="inlineStr">
        <is>
          <t>UsageLimit</t>
        </is>
      </c>
      <c r="K11" s="59" t="inlineStr">
        <is>
          <t>AsyncUsageCount</t>
        </is>
      </c>
      <c r="L11" s="59" t="inlineStr">
        <is>
          <t>CreatedAt</t>
        </is>
      </c>
      <c r="M11" s="59" t="inlineStr">
        <is>
          <t>UpdatedAt</t>
        </is>
      </c>
    </row>
    <row r="12">
      <c r="B12" s="60" t="n"/>
      <c r="C12" s="60" t="n"/>
      <c r="D12" s="60" t="n"/>
      <c r="E12" s="60" t="n"/>
      <c r="F12" s="60" t="n"/>
      <c r="G12" s="60" t="n"/>
      <c r="H12" s="60" t="n"/>
      <c r="I12" s="60" t="n"/>
      <c r="J12" s="60" t="n"/>
      <c r="K12" s="60" t="n"/>
      <c r="L12" s="60" t="n"/>
      <c r="M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6:M6"/>
    <mergeCell ref="B7:M7"/>
    <mergeCell ref="A1:M1"/>
    <mergeCell ref="B5:M5"/>
    <mergeCell ref="B8:M8"/>
    <mergeCell ref="A3:M3"/>
    <mergeCell ref="B4:M4"/>
    <mergeCell ref="A2:M2"/>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6.xml><?xml version="1.0" encoding="utf-8"?>
<worksheet xmlns="http://schemas.openxmlformats.org/spreadsheetml/2006/main">
  <sheetPr>
    <tabColor rgb="007F7F7F"/>
    <outlinePr applyStyles="1" summaryBelow="0" summaryRight="1"/>
    <pageSetUpPr/>
  </sheetPr>
  <dimension ref="A1:L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34" customHeight="1">
      <c r="A1" s="1" t="inlineStr">
        <is>
          <t>DIM_Date</t>
        </is>
      </c>
    </row>
    <row r="2" ht="16" customHeight="1">
      <c r="A2" s="17" t="inlineStr">
        <is>
          <t>PASSRESS MIS   |   Home ▸ DIM_Date</t>
        </is>
      </c>
    </row>
    <row r="3" ht="14" customHeight="1">
      <c r="A3" s="3" t="inlineStr">
        <is>
          <t>Sheet Documentation  (use the  +  outline control at left to expand)</t>
        </is>
      </c>
    </row>
    <row r="4" hidden="1" outlineLevel="1" ht="13" customHeight="1">
      <c r="A4" s="4" t="inlineStr">
        <is>
          <t>Purpose</t>
        </is>
      </c>
      <c r="B4" s="5" t="inlineStr">
        <is>
          <t>Dimension table for the star schema — describes the 'Date' entity that FACT_ tables relate to.</t>
        </is>
      </c>
    </row>
    <row r="5" hidden="1" outlineLevel="1" ht="13" customHeight="1">
      <c r="A5" s="4" t="inlineStr">
        <is>
          <t>Input tables</t>
        </is>
      </c>
      <c r="B5" s="5" t="inlineStr">
        <is>
          <t>RAW_ staging table(s) built in Phase 2.</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One-to-many into the relevant FACT_ table(s) on this dimension's key column — see dax/README.md for the full relationship list.</t>
        </is>
      </c>
    </row>
    <row r="8" hidden="1" outlineLevel="1" ht="13" customHeight="1">
      <c r="A8" s="4" t="inlineStr">
        <is>
          <t>Future data source</t>
        </is>
      </c>
      <c r="B8" s="5" t="inlineStr">
        <is>
          <t>Live now: paste passress-mis/power-query/star-schema/DIM_Date.pq — see passress-mis/dax/README.md for setup order.</t>
        </is>
      </c>
    </row>
    <row r="9" hidden="1" outlineLevel="1"/>
    <row r="10" ht="6" customHeight="1"/>
    <row r="11" ht="18" customHeight="1">
      <c r="B11" s="50" t="inlineStr">
        <is>
          <t>DateKey</t>
        </is>
      </c>
      <c r="C11" s="50" t="inlineStr">
        <is>
          <t>Date</t>
        </is>
      </c>
      <c r="D11" s="50" t="inlineStr">
        <is>
          <t>Year</t>
        </is>
      </c>
      <c r="E11" s="50" t="inlineStr">
        <is>
          <t>FiscalYear</t>
        </is>
      </c>
      <c r="F11" s="50" t="inlineStr">
        <is>
          <t>Quarter</t>
        </is>
      </c>
      <c r="G11" s="50" t="inlineStr">
        <is>
          <t>Month</t>
        </is>
      </c>
      <c r="H11" s="50" t="inlineStr">
        <is>
          <t>MonthName</t>
        </is>
      </c>
      <c r="I11" s="50" t="inlineStr">
        <is>
          <t>Week</t>
        </is>
      </c>
      <c r="J11" s="50" t="inlineStr">
        <is>
          <t>Day</t>
        </is>
      </c>
      <c r="K11" s="50" t="inlineStr">
        <is>
          <t>DayName</t>
        </is>
      </c>
      <c r="L11" s="50" t="inlineStr">
        <is>
          <t>IsWeekend</t>
        </is>
      </c>
    </row>
    <row r="12">
      <c r="B12" s="30" t="n"/>
      <c r="C12" s="30" t="n"/>
      <c r="D12" s="30" t="n"/>
      <c r="E12" s="30" t="n"/>
      <c r="F12" s="30" t="n"/>
      <c r="G12" s="30" t="n"/>
      <c r="H12" s="30" t="n"/>
      <c r="I12" s="30" t="n"/>
      <c r="J12" s="30" t="n"/>
      <c r="K12" s="30" t="n"/>
      <c r="L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4:L4"/>
    <mergeCell ref="A2:L2"/>
    <mergeCell ref="B6:L6"/>
    <mergeCell ref="B7:L7"/>
    <mergeCell ref="A1:L1"/>
    <mergeCell ref="B5:L5"/>
    <mergeCell ref="A3:L3"/>
    <mergeCell ref="B8:L8"/>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7.xml><?xml version="1.0" encoding="utf-8"?>
<worksheet xmlns="http://schemas.openxmlformats.org/spreadsheetml/2006/main">
  <sheetPr>
    <tabColor rgb="007F7F7F"/>
    <outlinePr applyStyles="1" summaryBelow="0" summaryRight="1"/>
    <pageSetUpPr/>
  </sheetPr>
  <dimension ref="A1:J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4" customHeight="1">
      <c r="A1" s="1" t="inlineStr">
        <is>
          <t>DIM_Product</t>
        </is>
      </c>
    </row>
    <row r="2" ht="16" customHeight="1">
      <c r="A2" s="17" t="inlineStr">
        <is>
          <t>PASSRESS MIS   |   Home ▸ DIM_Product</t>
        </is>
      </c>
    </row>
    <row r="3" ht="14" customHeight="1">
      <c r="A3" s="3" t="inlineStr">
        <is>
          <t>Sheet Documentation  (use the  +  outline control at left to expand)</t>
        </is>
      </c>
    </row>
    <row r="4" hidden="1" outlineLevel="1" ht="13" customHeight="1">
      <c r="A4" s="4" t="inlineStr">
        <is>
          <t>Purpose</t>
        </is>
      </c>
      <c r="B4" s="5" t="inlineStr">
        <is>
          <t>Dimension table for the star schema — describes the 'Product' entity that FACT_ tables relate to.</t>
        </is>
      </c>
    </row>
    <row r="5" hidden="1" outlineLevel="1" ht="13" customHeight="1">
      <c r="A5" s="4" t="inlineStr">
        <is>
          <t>Input tables</t>
        </is>
      </c>
      <c r="B5" s="5" t="inlineStr">
        <is>
          <t>RAW_ staging table(s) built in Phase 2.</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One-to-many into the relevant FACT_ table(s) on this dimension's key column — see dax/README.md for the full relationship list.</t>
        </is>
      </c>
    </row>
    <row r="8" hidden="1" outlineLevel="1" ht="13" customHeight="1">
      <c r="A8" s="4" t="inlineStr">
        <is>
          <t>Future data source</t>
        </is>
      </c>
      <c r="B8" s="5" t="inlineStr">
        <is>
          <t>Live now: paste passress-mis/power-query/star-schema/DIM_Product.pq — see passress-mis/dax/README.md for setup order.</t>
        </is>
      </c>
    </row>
    <row r="9" hidden="1" outlineLevel="1"/>
    <row r="10" ht="6" customHeight="1"/>
    <row r="11" ht="18" customHeight="1">
      <c r="B11" s="50" t="inlineStr">
        <is>
          <t>ProductKey</t>
        </is>
      </c>
      <c r="C11" s="50" t="inlineStr">
        <is>
          <t>ProductID</t>
        </is>
      </c>
      <c r="D11" s="50" t="inlineStr">
        <is>
          <t>SKU</t>
        </is>
      </c>
      <c r="E11" s="50" t="inlineStr">
        <is>
          <t>Title</t>
        </is>
      </c>
      <c r="F11" s="50" t="inlineStr">
        <is>
          <t>ProductType</t>
        </is>
      </c>
      <c r="G11" s="50" t="inlineStr">
        <is>
          <t>Vendor</t>
        </is>
      </c>
      <c r="H11" s="50" t="inlineStr">
        <is>
          <t>Collection</t>
        </is>
      </c>
      <c r="I11" s="50" t="inlineStr">
        <is>
          <t>UnitCost</t>
        </is>
      </c>
      <c r="J11" s="50" t="inlineStr">
        <is>
          <t>Status</t>
        </is>
      </c>
    </row>
    <row r="12">
      <c r="B12" s="30" t="n"/>
      <c r="C12" s="30" t="n"/>
      <c r="D12" s="30" t="n"/>
      <c r="E12" s="30" t="n"/>
      <c r="F12" s="30" t="n"/>
      <c r="G12" s="30" t="n"/>
      <c r="H12" s="30" t="n"/>
      <c r="I12" s="30" t="n"/>
      <c r="J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7:J7"/>
    <mergeCell ref="A1:J1"/>
    <mergeCell ref="B5:J5"/>
    <mergeCell ref="A3:J3"/>
    <mergeCell ref="B8:J8"/>
    <mergeCell ref="B4:J4"/>
    <mergeCell ref="A2:J2"/>
    <mergeCell ref="B6:J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8.xml><?xml version="1.0" encoding="utf-8"?>
<worksheet xmlns="http://schemas.openxmlformats.org/spreadsheetml/2006/main">
  <sheetPr>
    <tabColor rgb="007F7F7F"/>
    <outlinePr applyStyles="1" summaryBelow="0" summaryRight="1"/>
    <pageSetUpPr/>
  </sheetPr>
  <dimension ref="A1:H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 t="inlineStr">
        <is>
          <t>DIM_Customer</t>
        </is>
      </c>
    </row>
    <row r="2" ht="16" customHeight="1">
      <c r="A2" s="17" t="inlineStr">
        <is>
          <t>PASSRESS MIS   |   Home ▸ DIM_Customer</t>
        </is>
      </c>
    </row>
    <row r="3" ht="14" customHeight="1">
      <c r="A3" s="3" t="inlineStr">
        <is>
          <t>Sheet Documentation  (use the  +  outline control at left to expand)</t>
        </is>
      </c>
    </row>
    <row r="4" hidden="1" outlineLevel="1" ht="13" customHeight="1">
      <c r="A4" s="4" t="inlineStr">
        <is>
          <t>Purpose</t>
        </is>
      </c>
      <c r="B4" s="5" t="inlineStr">
        <is>
          <t>Dimension table for the star schema — describes the 'Customer' entity that FACT_ tables relate to.</t>
        </is>
      </c>
    </row>
    <row r="5" hidden="1" outlineLevel="1" ht="13" customHeight="1">
      <c r="A5" s="4" t="inlineStr">
        <is>
          <t>Input tables</t>
        </is>
      </c>
      <c r="B5" s="5" t="inlineStr">
        <is>
          <t>RAW_ staging table(s) built in Phase 2.</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One-to-many into the relevant FACT_ table(s) on this dimension's key column — see dax/README.md for the full relationship list.</t>
        </is>
      </c>
    </row>
    <row r="8" hidden="1" outlineLevel="1" ht="13" customHeight="1">
      <c r="A8" s="4" t="inlineStr">
        <is>
          <t>Future data source</t>
        </is>
      </c>
      <c r="B8" s="5" t="inlineStr">
        <is>
          <t>Live now: paste passress-mis/power-query/star-schema/DIM_Customer.pq — see passress-mis/dax/README.md for setup order.</t>
        </is>
      </c>
    </row>
    <row r="9" hidden="1" outlineLevel="1"/>
    <row r="10" ht="6" customHeight="1"/>
    <row r="11" ht="18" customHeight="1">
      <c r="B11" s="50" t="inlineStr">
        <is>
          <t>CustomerKey</t>
        </is>
      </c>
      <c r="C11" s="50" t="inlineStr">
        <is>
          <t>CustomerID</t>
        </is>
      </c>
      <c r="D11" s="50" t="inlineStr">
        <is>
          <t>Name</t>
        </is>
      </c>
      <c r="E11" s="50" t="inlineStr">
        <is>
          <t>Email</t>
        </is>
      </c>
      <c r="F11" s="50" t="inlineStr">
        <is>
          <t>Country</t>
        </is>
      </c>
      <c r="G11" s="50" t="inlineStr">
        <is>
          <t>FirstOrderDate</t>
        </is>
      </c>
      <c r="H11" s="50" t="inlineStr">
        <is>
          <t>CustomerSegment</t>
        </is>
      </c>
    </row>
    <row r="12">
      <c r="B12" s="30" t="n"/>
      <c r="C12" s="30" t="n"/>
      <c r="D12" s="30" t="n"/>
      <c r="E12" s="30" t="n"/>
      <c r="F12" s="30" t="n"/>
      <c r="G12" s="30" t="n"/>
      <c r="H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H8"/>
    <mergeCell ref="A3:H3"/>
    <mergeCell ref="B4:H4"/>
    <mergeCell ref="A2:H2"/>
    <mergeCell ref="B6:H6"/>
    <mergeCell ref="B7:H7"/>
    <mergeCell ref="A1:H1"/>
    <mergeCell ref="B5:H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29.xml><?xml version="1.0" encoding="utf-8"?>
<worksheet xmlns="http://schemas.openxmlformats.org/spreadsheetml/2006/main">
  <sheetPr>
    <tabColor rgb="007F7F7F"/>
    <outlinePr applyStyles="1" summaryBelow="0" summaryRight="1"/>
    <pageSetUpPr/>
  </sheetPr>
  <dimension ref="A1:F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s>
  <sheetData>
    <row r="1" ht="34" customHeight="1">
      <c r="A1" s="1" t="inlineStr">
        <is>
          <t>DIM_Location</t>
        </is>
      </c>
    </row>
    <row r="2" ht="16" customHeight="1">
      <c r="A2" s="17" t="inlineStr">
        <is>
          <t>PASSRESS MIS   |   Home ▸ DIM_Location</t>
        </is>
      </c>
    </row>
    <row r="3" ht="14" customHeight="1">
      <c r="A3" s="3" t="inlineStr">
        <is>
          <t>Sheet Documentation  (use the  +  outline control at left to expand)</t>
        </is>
      </c>
    </row>
    <row r="4" hidden="1" outlineLevel="1" ht="13" customHeight="1">
      <c r="A4" s="4" t="inlineStr">
        <is>
          <t>Purpose</t>
        </is>
      </c>
      <c r="B4" s="5" t="inlineStr">
        <is>
          <t>Dimension table for the star schema — describes the 'Location' entity that FACT_ tables relate to.</t>
        </is>
      </c>
    </row>
    <row r="5" hidden="1" outlineLevel="1" ht="13" customHeight="1">
      <c r="A5" s="4" t="inlineStr">
        <is>
          <t>Input tables</t>
        </is>
      </c>
      <c r="B5" s="5" t="inlineStr">
        <is>
          <t>RAW_ staging table(s) built in Phase 2.</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One-to-many into the relevant FACT_ table(s) on this dimension's key column — see dax/README.md for the full relationship list.</t>
        </is>
      </c>
    </row>
    <row r="8" hidden="1" outlineLevel="1" ht="13" customHeight="1">
      <c r="A8" s="4" t="inlineStr">
        <is>
          <t>Future data source</t>
        </is>
      </c>
      <c r="B8" s="5" t="inlineStr">
        <is>
          <t>Live now: paste passress-mis/power-query/star-schema/DIM_Location.pq — see passress-mis/dax/README.md for setup order.</t>
        </is>
      </c>
    </row>
    <row r="9" hidden="1" outlineLevel="1"/>
    <row r="10" ht="6" customHeight="1"/>
    <row r="11" ht="18" customHeight="1">
      <c r="B11" s="50" t="inlineStr">
        <is>
          <t>LocationKey</t>
        </is>
      </c>
      <c r="C11" s="50" t="inlineStr">
        <is>
          <t>LocationID</t>
        </is>
      </c>
      <c r="D11" s="50" t="inlineStr">
        <is>
          <t>LocationName</t>
        </is>
      </c>
      <c r="E11" s="50" t="inlineStr">
        <is>
          <t>City</t>
        </is>
      </c>
      <c r="F11" s="50" t="inlineStr">
        <is>
          <t>Country</t>
        </is>
      </c>
    </row>
    <row r="12">
      <c r="B12" s="30" t="n"/>
      <c r="C12" s="30" t="n"/>
      <c r="D12" s="30" t="n"/>
      <c r="E12" s="30" t="n"/>
      <c r="F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4:F4"/>
    <mergeCell ref="A2:F2"/>
    <mergeCell ref="B7:F7"/>
    <mergeCell ref="B6:F6"/>
    <mergeCell ref="A1:F1"/>
    <mergeCell ref="B5:F5"/>
    <mergeCell ref="B8:F8"/>
    <mergeCell ref="A3:F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0.xml><?xml version="1.0" encoding="utf-8"?>
<worksheet xmlns="http://schemas.openxmlformats.org/spreadsheetml/2006/main">
  <sheetPr>
    <tabColor rgb="007F7F7F"/>
    <outlinePr applyStyles="1" summaryBelow="0" summaryRight="1"/>
    <pageSetUpPr/>
  </sheetPr>
  <dimension ref="A1:E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s>
  <sheetData>
    <row r="1" ht="34" customHeight="1">
      <c r="A1" s="1" t="inlineStr">
        <is>
          <t>DIM_Collection</t>
        </is>
      </c>
    </row>
    <row r="2" ht="16" customHeight="1">
      <c r="A2" s="17" t="inlineStr">
        <is>
          <t>PASSRESS MIS   |   Home ▸ DIM_Collection</t>
        </is>
      </c>
    </row>
    <row r="3" ht="14" customHeight="1">
      <c r="A3" s="3" t="inlineStr">
        <is>
          <t>Sheet Documentation  (use the  +  outline control at left to expand)</t>
        </is>
      </c>
    </row>
    <row r="4" hidden="1" outlineLevel="1" ht="13" customHeight="1">
      <c r="A4" s="4" t="inlineStr">
        <is>
          <t>Purpose</t>
        </is>
      </c>
      <c r="B4" s="5" t="inlineStr">
        <is>
          <t>Dimension table for the star schema — describes the 'Collection' entity that FACT_ tables relate to.</t>
        </is>
      </c>
    </row>
    <row r="5" hidden="1" outlineLevel="1" ht="13" customHeight="1">
      <c r="A5" s="4" t="inlineStr">
        <is>
          <t>Input tables</t>
        </is>
      </c>
      <c r="B5" s="5" t="inlineStr">
        <is>
          <t>RAW_ staging table(s) built in Phase 2.</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One-to-many into the relevant FACT_ table(s) on this dimension's key column — see dax/README.md for the full relationship list.</t>
        </is>
      </c>
    </row>
    <row r="8" hidden="1" outlineLevel="1" ht="13" customHeight="1">
      <c r="A8" s="4" t="inlineStr">
        <is>
          <t>Future data source</t>
        </is>
      </c>
      <c r="B8" s="5" t="inlineStr">
        <is>
          <t>Live now: paste passress-mis/power-query/star-schema/DIM_Collection.pq — see passress-mis/dax/README.md for setup order.</t>
        </is>
      </c>
    </row>
    <row r="9" hidden="1" outlineLevel="1"/>
    <row r="10" ht="6" customHeight="1"/>
    <row r="11" ht="18" customHeight="1">
      <c r="B11" s="50" t="inlineStr">
        <is>
          <t>CollectionKey</t>
        </is>
      </c>
      <c r="C11" s="50" t="inlineStr">
        <is>
          <t>CollectionID</t>
        </is>
      </c>
      <c r="D11" s="50" t="inlineStr">
        <is>
          <t>Title</t>
        </is>
      </c>
      <c r="E11" s="50" t="inlineStr">
        <is>
          <t>Handle</t>
        </is>
      </c>
    </row>
    <row r="12">
      <c r="B12" s="30" t="n"/>
      <c r="C12" s="30" t="n"/>
      <c r="D12" s="30" t="n"/>
      <c r="E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E8"/>
    <mergeCell ref="B4:E4"/>
    <mergeCell ref="A2:E2"/>
    <mergeCell ref="B6:E6"/>
    <mergeCell ref="B7:E7"/>
    <mergeCell ref="A1:E1"/>
    <mergeCell ref="B5:E5"/>
    <mergeCell ref="A3:E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1.xml><?xml version="1.0" encoding="utf-8"?>
<worksheet xmlns="http://schemas.openxmlformats.org/spreadsheetml/2006/main">
  <sheetPr>
    <tabColor rgb="007F7F7F"/>
    <outlinePr applyStyles="1" summaryBelow="0" summaryRight="1"/>
    <pageSetUpPr/>
  </sheetPr>
  <dimension ref="A1:C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s>
  <sheetData>
    <row r="1" ht="34" customHeight="1">
      <c r="A1" s="1" t="inlineStr">
        <is>
          <t>DIM_Parameters</t>
        </is>
      </c>
    </row>
    <row r="2" ht="16" customHeight="1">
      <c r="A2" s="17" t="inlineStr">
        <is>
          <t>PASSRESS MIS   |   Home ▸ DIM_Parameters</t>
        </is>
      </c>
    </row>
    <row r="3" ht="14" customHeight="1">
      <c r="A3" s="3" t="inlineStr">
        <is>
          <t>Sheet Documentation  (use the  +  outline control at left to expand)</t>
        </is>
      </c>
    </row>
    <row r="4" hidden="1" outlineLevel="1" ht="13" customHeight="1">
      <c r="A4" s="4" t="inlineStr">
        <is>
          <t>Purpose</t>
        </is>
      </c>
      <c r="B4" s="5" t="inlineStr">
        <is>
          <t>Disconnected mirror of 15_Settings, used so DAX measures can reference configurable constants without creating a relationship into the star schema.</t>
        </is>
      </c>
    </row>
    <row r="5" hidden="1" outlineLevel="1" ht="13" customHeight="1">
      <c r="A5" s="4" t="inlineStr">
        <is>
          <t>Input tables</t>
        </is>
      </c>
      <c r="B5" s="5" t="inlineStr">
        <is>
          <t>15_Settings (linked manually / via Power Query, Phase 2).</t>
        </is>
      </c>
    </row>
    <row r="6" hidden="1" outlineLevel="1" ht="13" customHeight="1">
      <c r="A6" s="4" t="inlineStr">
        <is>
          <t>Output tables</t>
        </is>
      </c>
      <c r="B6" s="5" t="inlineStr">
        <is>
          <t>Referenced by DAX measures across all dashboards.</t>
        </is>
      </c>
    </row>
    <row r="7" hidden="1" outlineLevel="1" ht="13" customHeight="1">
      <c r="A7" s="4" t="inlineStr">
        <is>
          <t>Relationships</t>
        </is>
      </c>
      <c r="B7" s="5" t="inlineStr">
        <is>
          <t>N/A — disconnected table by design.</t>
        </is>
      </c>
    </row>
    <row r="8" hidden="1" outlineLevel="1" ht="13" customHeight="1">
      <c r="A8" s="4" t="inlineStr">
        <is>
          <t>Future data source</t>
        </is>
      </c>
      <c r="B8" s="5" t="inlineStr">
        <is>
          <t>Manual link to 15_Settings — Phase 3.</t>
        </is>
      </c>
    </row>
    <row r="9" hidden="1" outlineLevel="1"/>
    <row r="10" ht="6" customHeight="1"/>
    <row r="11" ht="18" customHeight="1">
      <c r="B11" s="50" t="inlineStr">
        <is>
          <t>ParameterName</t>
        </is>
      </c>
      <c r="C11" s="50" t="inlineStr">
        <is>
          <t>ParameterValue</t>
        </is>
      </c>
    </row>
    <row r="12">
      <c r="B12" s="30" t="n"/>
      <c r="C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6:C6"/>
    <mergeCell ref="B7:C7"/>
    <mergeCell ref="A1:C1"/>
    <mergeCell ref="B5:C5"/>
    <mergeCell ref="A3:C3"/>
    <mergeCell ref="B8:C8"/>
    <mergeCell ref="B4:C4"/>
    <mergeCell ref="A2:C2"/>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2.xml><?xml version="1.0" encoding="utf-8"?>
<worksheet xmlns="http://schemas.openxmlformats.org/spreadsheetml/2006/main">
  <sheetPr>
    <tabColor rgb="007F7F7F"/>
    <outlinePr applyStyles="1" summaryBelow="0" summaryRight="1"/>
    <pageSetUpPr/>
  </sheetPr>
  <dimension ref="A1:G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s>
  <sheetData>
    <row r="1" ht="34" customHeight="1">
      <c r="A1" s="1" t="inlineStr">
        <is>
          <t>DIM_Supplier</t>
        </is>
      </c>
    </row>
    <row r="2" ht="16" customHeight="1">
      <c r="A2" s="17" t="inlineStr">
        <is>
          <t>PASSRESS MIS   |   Home ▸ DIM_Supplier</t>
        </is>
      </c>
    </row>
    <row r="3" ht="14" customHeight="1">
      <c r="A3" s="3" t="inlineStr">
        <is>
          <t>Sheet Documentation  (use the  +  outline control at left to expand)</t>
        </is>
      </c>
    </row>
    <row r="4" hidden="1" outlineLevel="1" ht="13" customHeight="1">
      <c r="A4" s="4" t="inlineStr">
        <is>
          <t>Purpose</t>
        </is>
      </c>
      <c r="B4" s="5" t="inlineStr">
        <is>
          <t>Data Model-ready mirror of 12_Suppliers (Supplier Master table).</t>
        </is>
      </c>
    </row>
    <row r="5" hidden="1" outlineLevel="1" ht="13" customHeight="1">
      <c r="A5" s="4" t="inlineStr">
        <is>
          <t>Input tables</t>
        </is>
      </c>
      <c r="B5" s="5" t="inlineStr">
        <is>
          <t>12_Suppliers's master-data table.</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SupplierID relates to FACT_ManualExpenses/FACT_PurchaseOrderHeader; PrimarySupplierID on DIM_Product relates back here (one-to-many).</t>
        </is>
      </c>
    </row>
    <row r="8" hidden="1" outlineLevel="1" ht="13" customHeight="1">
      <c r="A8" s="4" t="inlineStr">
        <is>
          <t>Future data source</t>
        </is>
      </c>
      <c r="B8" s="5" t="inlineStr">
        <is>
          <t>Live now: paste passress-mis/power-query/star-schema/DIM_Supplier.pq — see passress-mis/dax/README.md for setup order.</t>
        </is>
      </c>
    </row>
    <row r="9" hidden="1" outlineLevel="1"/>
    <row r="10" ht="6" customHeight="1"/>
    <row r="11" ht="18" customHeight="1">
      <c r="B11" s="50" t="inlineStr">
        <is>
          <t>SupplierKey</t>
        </is>
      </c>
      <c r="C11" s="50" t="inlineStr">
        <is>
          <t>SupplierID</t>
        </is>
      </c>
      <c r="D11" s="50" t="inlineStr">
        <is>
          <t>SupplierName</t>
        </is>
      </c>
      <c r="E11" s="50" t="inlineStr">
        <is>
          <t>SupplierType</t>
        </is>
      </c>
      <c r="F11" s="50" t="inlineStr">
        <is>
          <t>Currency</t>
        </is>
      </c>
      <c r="G11" s="50" t="inlineStr">
        <is>
          <t>Status</t>
        </is>
      </c>
    </row>
    <row r="12">
      <c r="B12" s="30" t="n"/>
      <c r="C12" s="30" t="n"/>
      <c r="D12" s="30" t="n"/>
      <c r="E12" s="30" t="n"/>
      <c r="F12" s="30" t="n"/>
      <c r="G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1:G1"/>
    <mergeCell ref="B5:G5"/>
    <mergeCell ref="A3:G3"/>
    <mergeCell ref="B8:G8"/>
    <mergeCell ref="B4:G4"/>
    <mergeCell ref="A2:G2"/>
    <mergeCell ref="B7:G7"/>
    <mergeCell ref="B6:G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3.xml><?xml version="1.0" encoding="utf-8"?>
<worksheet xmlns="http://schemas.openxmlformats.org/spreadsheetml/2006/main">
  <sheetPr>
    <tabColor rgb="007F7F7F"/>
    <outlinePr applyStyles="1" summaryBelow="0" summaryRight="1"/>
    <pageSetUpPr/>
  </sheetPr>
  <dimension ref="A1:J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4" customHeight="1">
      <c r="A1" s="1" t="inlineStr">
        <is>
          <t>DIM_ProductCostHistory</t>
        </is>
      </c>
    </row>
    <row r="2" ht="16" customHeight="1">
      <c r="A2" s="17" t="inlineStr">
        <is>
          <t>PASSRESS MIS   |   Home ▸ DIM_ProductCostHistory</t>
        </is>
      </c>
    </row>
    <row r="3" ht="14" customHeight="1">
      <c r="A3" s="3" t="inlineStr">
        <is>
          <t>Sheet Documentation  (use the  +  outline control at left to expand)</t>
        </is>
      </c>
    </row>
    <row r="4" hidden="1" outlineLevel="1" ht="13" customHeight="1">
      <c r="A4" s="4" t="inlineStr">
        <is>
          <t>Purpose</t>
        </is>
      </c>
      <c r="B4" s="5" t="inlineStr">
        <is>
          <t>Data Model-ready mirror of 05_Products (Product Cost Master table), time-variant (Effective From/To + Active Flag preserved) so Phase 4 can join each order line to the cost that was active on the order's date.</t>
        </is>
      </c>
    </row>
    <row r="5" hidden="1" outlineLevel="1" ht="13" customHeight="1">
      <c r="A5" s="4" t="inlineStr">
        <is>
          <t>Input tables</t>
        </is>
      </c>
      <c r="B5" s="5" t="inlineStr">
        <is>
          <t>05_Products's master-data table.</t>
        </is>
      </c>
    </row>
    <row r="6" hidden="1" outlineLevel="1" ht="13" customHeight="1">
      <c r="A6" s="4" t="inlineStr">
        <is>
          <t>Output tables</t>
        </is>
      </c>
      <c r="B6" s="5" t="inlineStr">
        <is>
          <t>Related to FACT_ tables in the Data Model (one-to-many).</t>
        </is>
      </c>
    </row>
    <row r="7" hidden="1" outlineLevel="1" ht="13" customHeight="1">
      <c r="A7" s="4" t="inlineStr">
        <is>
          <t>Relationships</t>
        </is>
      </c>
      <c r="B7" s="5" t="inlineStr">
        <is>
          <t>SKU relates to FACT_OrderLines; EffectiveFromDate/EffectiveToDate bound which cost row applies to a given order date via fn_GetEffectiveCost (Power Query), not a Data Model relationship — see dax/README.md.</t>
        </is>
      </c>
    </row>
    <row r="8" hidden="1" outlineLevel="1" ht="13" customHeight="1">
      <c r="A8" s="4" t="inlineStr">
        <is>
          <t>Future data source</t>
        </is>
      </c>
      <c r="B8" s="5" t="inlineStr">
        <is>
          <t>Live now: paste passress-mis/power-query/star-schema/DIM_ProductCostHistory.pq — see passress-mis/dax/README.md for setup order.</t>
        </is>
      </c>
    </row>
    <row r="9" hidden="1" outlineLevel="1"/>
    <row r="10" ht="6" customHeight="1"/>
    <row r="11" ht="18" customHeight="1">
      <c r="B11" s="50" t="inlineStr">
        <is>
          <t>CostKey</t>
        </is>
      </c>
      <c r="C11" s="50" t="inlineStr">
        <is>
          <t>SKU</t>
        </is>
      </c>
      <c r="D11" s="50" t="inlineStr">
        <is>
          <t>Collection</t>
        </is>
      </c>
      <c r="E11" s="50" t="inlineStr">
        <is>
          <t>TotalLandedCost</t>
        </is>
      </c>
      <c r="F11" s="50" t="inlineStr">
        <is>
          <t>SellingPrice</t>
        </is>
      </c>
      <c r="G11" s="50" t="inlineStr">
        <is>
          <t>ExpectedGrossMarginPct</t>
        </is>
      </c>
      <c r="H11" s="50" t="inlineStr">
        <is>
          <t>EffectiveFromDate</t>
        </is>
      </c>
      <c r="I11" s="50" t="inlineStr">
        <is>
          <t>EffectiveToDate</t>
        </is>
      </c>
      <c r="J11" s="50" t="inlineStr">
        <is>
          <t>ActiveFlag</t>
        </is>
      </c>
    </row>
    <row r="12">
      <c r="B12" s="30" t="n"/>
      <c r="C12" s="30" t="n"/>
      <c r="D12" s="30" t="n"/>
      <c r="E12" s="30" t="n"/>
      <c r="F12" s="30" t="n"/>
      <c r="G12" s="30" t="n"/>
      <c r="H12" s="30" t="n"/>
      <c r="I12" s="30" t="n"/>
      <c r="J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7:J7"/>
    <mergeCell ref="A1:J1"/>
    <mergeCell ref="B5:J5"/>
    <mergeCell ref="A3:J3"/>
    <mergeCell ref="B8:J8"/>
    <mergeCell ref="B4:J4"/>
    <mergeCell ref="A2:J2"/>
    <mergeCell ref="B6:J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4.xml><?xml version="1.0" encoding="utf-8"?>
<worksheet xmlns="http://schemas.openxmlformats.org/spreadsheetml/2006/main">
  <sheetPr>
    <tabColor rgb="00595959"/>
    <outlinePr applyStyles="1" summaryBelow="0" summaryRight="1"/>
    <pageSetUpPr/>
  </sheetPr>
  <dimension ref="A1:P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34" customHeight="1">
      <c r="A1" s="1" t="inlineStr">
        <is>
          <t>FACT_OrderLines</t>
        </is>
      </c>
    </row>
    <row r="2" ht="16" customHeight="1">
      <c r="A2" s="17" t="inlineStr">
        <is>
          <t>PASSRESS MIS   |   Home ▸ FACT_OrderLines</t>
        </is>
      </c>
    </row>
    <row r="3" ht="14" customHeight="1">
      <c r="A3" s="3" t="inlineStr">
        <is>
          <t>Sheet Documentation  (use the  +  outline control at left to expand)</t>
        </is>
      </c>
    </row>
    <row r="4" hidden="1" outlineLevel="1" ht="13" customHeight="1">
      <c r="A4" s="4" t="inlineStr">
        <is>
          <t>Purpose</t>
        </is>
      </c>
      <c r="B4" s="5" t="inlineStr">
        <is>
          <t>Fact table for the star schema — transaction-level grain, built from RAW_ staging data plus dimension keys via Power Query (not re-fetched from Shopify).</t>
        </is>
      </c>
    </row>
    <row r="5" hidden="1" outlineLevel="1" ht="13" customHeight="1">
      <c r="A5" s="4" t="inlineStr">
        <is>
          <t>Input tables</t>
        </is>
      </c>
      <c r="B5" s="5" t="inlineStr">
        <is>
          <t>RAW_ staging tables + DIM_ key lookups.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Many-to-one into each related DIM_ table — see dax/README.md for the full relationship list.</t>
        </is>
      </c>
    </row>
    <row r="8" hidden="1" outlineLevel="1" ht="13" customHeight="1">
      <c r="A8" s="4" t="inlineStr">
        <is>
          <t>Future data source</t>
        </is>
      </c>
      <c r="B8" s="5" t="inlineStr">
        <is>
          <t>Live now: paste passress-mis/power-query/star-schema/FACT_OrderLines.pq — see passress-mis/dax/README.md for setup order.</t>
        </is>
      </c>
    </row>
    <row r="9" hidden="1" outlineLevel="1"/>
    <row r="10" ht="6" customHeight="1"/>
    <row r="11" ht="18" customHeight="1">
      <c r="B11" s="50" t="inlineStr">
        <is>
          <t>OrderLineKey</t>
        </is>
      </c>
      <c r="C11" s="50" t="inlineStr">
        <is>
          <t>OrderID</t>
        </is>
      </c>
      <c r="D11" s="50" t="inlineStr">
        <is>
          <t>DateKey</t>
        </is>
      </c>
      <c r="E11" s="50" t="inlineStr">
        <is>
          <t>ProductKey</t>
        </is>
      </c>
      <c r="F11" s="50" t="inlineStr">
        <is>
          <t>CustomerKey</t>
        </is>
      </c>
      <c r="G11" s="50" t="inlineStr">
        <is>
          <t>LocationKey</t>
        </is>
      </c>
      <c r="H11" s="50" t="inlineStr">
        <is>
          <t>Quantity</t>
        </is>
      </c>
      <c r="I11" s="50" t="inlineStr">
        <is>
          <t>UnitPrice</t>
        </is>
      </c>
      <c r="J11" s="50" t="inlineStr">
        <is>
          <t>GrossAmount</t>
        </is>
      </c>
      <c r="K11" s="50" t="inlineStr">
        <is>
          <t>DiscountAmount</t>
        </is>
      </c>
      <c r="L11" s="50" t="inlineStr">
        <is>
          <t>TaxAmount</t>
        </is>
      </c>
      <c r="M11" s="50" t="inlineStr">
        <is>
          <t>NetAmount</t>
        </is>
      </c>
      <c r="N11" s="50" t="inlineStr">
        <is>
          <t>UnitCost</t>
        </is>
      </c>
      <c r="O11" s="50" t="inlineStr">
        <is>
          <t>COGS</t>
        </is>
      </c>
      <c r="P11" s="50" t="inlineStr">
        <is>
          <t>MissingCostFlag</t>
        </is>
      </c>
    </row>
    <row r="12">
      <c r="B12" s="30" t="n"/>
      <c r="C12" s="30" t="n"/>
      <c r="D12" s="30" t="n"/>
      <c r="E12" s="30" t="n"/>
      <c r="F12" s="30" t="n"/>
      <c r="G12" s="30" t="n"/>
      <c r="H12" s="30" t="n"/>
      <c r="I12" s="30" t="n"/>
      <c r="J12" s="30" t="n"/>
      <c r="K12" s="30" t="n"/>
      <c r="L12" s="30" t="n"/>
      <c r="M12" s="30" t="n"/>
      <c r="N12" s="30" t="n"/>
      <c r="O12" s="30" t="n"/>
      <c r="P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7:P7"/>
    <mergeCell ref="B6:P6"/>
    <mergeCell ref="A1:P1"/>
    <mergeCell ref="B5:P5"/>
    <mergeCell ref="B8:P8"/>
    <mergeCell ref="A3:P3"/>
    <mergeCell ref="B4:P4"/>
    <mergeCell ref="A2:P2"/>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5.xml><?xml version="1.0" encoding="utf-8"?>
<worksheet xmlns="http://schemas.openxmlformats.org/spreadsheetml/2006/main">
  <sheetPr>
    <tabColor rgb="00595959"/>
    <outlinePr applyStyles="1" summaryBelow="0" summaryRight="1"/>
    <pageSetUpPr/>
  </sheetPr>
  <dimension ref="A1:F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s>
  <sheetData>
    <row r="1" ht="34" customHeight="1">
      <c r="A1" s="1" t="inlineStr">
        <is>
          <t>FACT_Refunds</t>
        </is>
      </c>
    </row>
    <row r="2" ht="16" customHeight="1">
      <c r="A2" s="17" t="inlineStr">
        <is>
          <t>PASSRESS MIS   |   Home ▸ FACT_Refunds</t>
        </is>
      </c>
    </row>
    <row r="3" ht="14" customHeight="1">
      <c r="A3" s="3" t="inlineStr">
        <is>
          <t>Sheet Documentation  (use the  +  outline control at left to expand)</t>
        </is>
      </c>
    </row>
    <row r="4" hidden="1" outlineLevel="1" ht="13" customHeight="1">
      <c r="A4" s="4" t="inlineStr">
        <is>
          <t>Purpose</t>
        </is>
      </c>
      <c r="B4" s="5" t="inlineStr">
        <is>
          <t>Fact table for the star schema — transaction-level grain, built from RAW_ staging data plus dimension keys via Power Query (not re-fetched from Shopify).</t>
        </is>
      </c>
    </row>
    <row r="5" hidden="1" outlineLevel="1" ht="13" customHeight="1">
      <c r="A5" s="4" t="inlineStr">
        <is>
          <t>Input tables</t>
        </is>
      </c>
      <c r="B5" s="5" t="inlineStr">
        <is>
          <t>RAW_ staging tables + DIM_ key lookups.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Many-to-one into each related DIM_ table — see dax/README.md for the full relationship list.</t>
        </is>
      </c>
    </row>
    <row r="8" hidden="1" outlineLevel="1" ht="13" customHeight="1">
      <c r="A8" s="4" t="inlineStr">
        <is>
          <t>Future data source</t>
        </is>
      </c>
      <c r="B8" s="5" t="inlineStr">
        <is>
          <t>Live now: paste passress-mis/power-query/star-schema/FACT_Refunds.pq — see passress-mis/dax/README.md for setup order.</t>
        </is>
      </c>
    </row>
    <row r="9" hidden="1" outlineLevel="1"/>
    <row r="10" ht="6" customHeight="1"/>
    <row r="11" ht="18" customHeight="1">
      <c r="B11" s="50" t="inlineStr">
        <is>
          <t>RefundKey</t>
        </is>
      </c>
      <c r="C11" s="50" t="inlineStr">
        <is>
          <t>OrderLineKey</t>
        </is>
      </c>
      <c r="D11" s="50" t="inlineStr">
        <is>
          <t>DateKey</t>
        </is>
      </c>
      <c r="E11" s="50" t="inlineStr">
        <is>
          <t>Quantity</t>
        </is>
      </c>
      <c r="F11" s="50" t="inlineStr">
        <is>
          <t>RefundAmount</t>
        </is>
      </c>
    </row>
    <row r="12">
      <c r="B12" s="30" t="n"/>
      <c r="C12" s="30" t="n"/>
      <c r="D12" s="30" t="n"/>
      <c r="E12" s="30" t="n"/>
      <c r="F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4:F4"/>
    <mergeCell ref="A2:F2"/>
    <mergeCell ref="B7:F7"/>
    <mergeCell ref="B6:F6"/>
    <mergeCell ref="A1:F1"/>
    <mergeCell ref="B5:F5"/>
    <mergeCell ref="B8:F8"/>
    <mergeCell ref="A3:F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6.xml><?xml version="1.0" encoding="utf-8"?>
<worksheet xmlns="http://schemas.openxmlformats.org/spreadsheetml/2006/main">
  <sheetPr>
    <tabColor rgb="00595959"/>
    <outlinePr applyStyles="1" summaryBelow="0" summaryRight="1"/>
    <pageSetUpPr/>
  </sheetPr>
  <dimension ref="A1:H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 t="inlineStr">
        <is>
          <t>FACT_InventoryMovements</t>
        </is>
      </c>
    </row>
    <row r="2" ht="16" customHeight="1">
      <c r="A2" s="17" t="inlineStr">
        <is>
          <t>PASSRESS MIS   |   Home ▸ FACT_InventoryMovements</t>
        </is>
      </c>
    </row>
    <row r="3" ht="14" customHeight="1">
      <c r="A3" s="3" t="inlineStr">
        <is>
          <t>Sheet Documentation  (use the  +  outline control at left to expand)</t>
        </is>
      </c>
    </row>
    <row r="4" hidden="1" outlineLevel="1" ht="13" customHeight="1">
      <c r="A4" s="4" t="inlineStr">
        <is>
          <t>Purpose</t>
        </is>
      </c>
      <c r="B4" s="5" t="inlineStr">
        <is>
          <t>Fact table for the star schema — transaction-level grain, built from RAW_ staging data plus dimension keys via Power Query (not re-fetched from Shopify).</t>
        </is>
      </c>
    </row>
    <row r="5" hidden="1" outlineLevel="1" ht="13" customHeight="1">
      <c r="A5" s="4" t="inlineStr">
        <is>
          <t>Input tables</t>
        </is>
      </c>
      <c r="B5" s="5" t="inlineStr">
        <is>
          <t>RAW_ staging tables + DIM_ key lookups.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Many-to-one into each related DIM_ table — see dax/README.md for the full relationship list.</t>
        </is>
      </c>
    </row>
    <row r="8" hidden="1" outlineLevel="1" ht="13" customHeight="1">
      <c r="A8" s="4" t="inlineStr">
        <is>
          <t>Future data source</t>
        </is>
      </c>
      <c r="B8" s="5" t="inlineStr">
        <is>
          <t>Live now: paste passress-mis/power-query/star-schema/FACT_InventoryMovements.pq — see passress-mis/dax/README.md for setup order.</t>
        </is>
      </c>
    </row>
    <row r="9" hidden="1" outlineLevel="1"/>
    <row r="10" ht="6" customHeight="1"/>
    <row r="11" ht="18" customHeight="1">
      <c r="B11" s="50" t="inlineStr">
        <is>
          <t>MovementKey</t>
        </is>
      </c>
      <c r="C11" s="50" t="inlineStr">
        <is>
          <t>DateKey</t>
        </is>
      </c>
      <c r="D11" s="50" t="inlineStr">
        <is>
          <t>ProductKey</t>
        </is>
      </c>
      <c r="E11" s="50" t="inlineStr">
        <is>
          <t>LocationKey</t>
        </is>
      </c>
      <c r="F11" s="50" t="inlineStr">
        <is>
          <t>MovementType</t>
        </is>
      </c>
      <c r="G11" s="50" t="inlineStr">
        <is>
          <t>QuantityChange</t>
        </is>
      </c>
      <c r="H11" s="50" t="inlineStr">
        <is>
          <t>ResultingOnHand</t>
        </is>
      </c>
    </row>
    <row r="12">
      <c r="B12" s="30" t="n"/>
      <c r="C12" s="30" t="n"/>
      <c r="D12" s="30" t="n"/>
      <c r="E12" s="30" t="n"/>
      <c r="F12" s="30" t="n"/>
      <c r="G12" s="30" t="n"/>
      <c r="H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H8"/>
    <mergeCell ref="A3:H3"/>
    <mergeCell ref="B4:H4"/>
    <mergeCell ref="A2:H2"/>
    <mergeCell ref="B6:H6"/>
    <mergeCell ref="B7:H7"/>
    <mergeCell ref="A1:H1"/>
    <mergeCell ref="B5:H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7.xml><?xml version="1.0" encoding="utf-8"?>
<worksheet xmlns="http://schemas.openxmlformats.org/spreadsheetml/2006/main">
  <sheetPr>
    <tabColor rgb="00595959"/>
    <outlinePr applyStyles="1" summaryBelow="0" summaryRight="1"/>
    <pageSetUpPr/>
  </sheetPr>
  <dimension ref="A1:H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 t="inlineStr">
        <is>
          <t>FACT_Payments</t>
        </is>
      </c>
    </row>
    <row r="2" ht="16" customHeight="1">
      <c r="A2" s="17" t="inlineStr">
        <is>
          <t>PASSRESS MIS   |   Home ▸ FACT_Payments</t>
        </is>
      </c>
    </row>
    <row r="3" ht="14" customHeight="1">
      <c r="A3" s="3" t="inlineStr">
        <is>
          <t>Sheet Documentation  (use the  +  outline control at left to expand)</t>
        </is>
      </c>
    </row>
    <row r="4" hidden="1" outlineLevel="1" ht="13" customHeight="1">
      <c r="A4" s="4" t="inlineStr">
        <is>
          <t>Purpose</t>
        </is>
      </c>
      <c r="B4" s="5" t="inlineStr">
        <is>
          <t>Fact table for the star schema — transaction-level grain, built from RAW_ staging data plus dimension keys via Power Query (not re-fetched from Shopify).</t>
        </is>
      </c>
    </row>
    <row r="5" hidden="1" outlineLevel="1" ht="13" customHeight="1">
      <c r="A5" s="4" t="inlineStr">
        <is>
          <t>Input tables</t>
        </is>
      </c>
      <c r="B5" s="5" t="inlineStr">
        <is>
          <t>RAW_ staging tables + DIM_ key lookups.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Many-to-one into each related DIM_ table — see dax/README.md for the full relationship list.</t>
        </is>
      </c>
    </row>
    <row r="8" hidden="1" outlineLevel="1" ht="13" customHeight="1">
      <c r="A8" s="4" t="inlineStr">
        <is>
          <t>Future data source</t>
        </is>
      </c>
      <c r="B8" s="5" t="inlineStr">
        <is>
          <t>Live now: paste passress-mis/power-query/star-schema/FACT_Payments.pq — see passress-mis/dax/README.md for setup order.</t>
        </is>
      </c>
    </row>
    <row r="9" hidden="1" outlineLevel="1"/>
    <row r="10" ht="6" customHeight="1"/>
    <row r="11" ht="18" customHeight="1">
      <c r="B11" s="50" t="inlineStr">
        <is>
          <t>PaymentKey</t>
        </is>
      </c>
      <c r="C11" s="50" t="inlineStr">
        <is>
          <t>OrderID</t>
        </is>
      </c>
      <c r="D11" s="50" t="inlineStr">
        <is>
          <t>DateKey</t>
        </is>
      </c>
      <c r="E11" s="50" t="inlineStr">
        <is>
          <t>PaymentMethod</t>
        </is>
      </c>
      <c r="F11" s="50" t="inlineStr">
        <is>
          <t>Currency</t>
        </is>
      </c>
      <c r="G11" s="50" t="inlineStr">
        <is>
          <t>Amount</t>
        </is>
      </c>
      <c r="H11" s="50" t="inlineStr">
        <is>
          <t>PresentmentAmount</t>
        </is>
      </c>
    </row>
    <row r="12">
      <c r="B12" s="30" t="n"/>
      <c r="C12" s="30" t="n"/>
      <c r="D12" s="30" t="n"/>
      <c r="E12" s="30" t="n"/>
      <c r="F12" s="30" t="n"/>
      <c r="G12" s="30" t="n"/>
      <c r="H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H8"/>
    <mergeCell ref="A3:H3"/>
    <mergeCell ref="B4:H4"/>
    <mergeCell ref="A2:H2"/>
    <mergeCell ref="B6:H6"/>
    <mergeCell ref="B7:H7"/>
    <mergeCell ref="A1:H1"/>
    <mergeCell ref="B5:H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8.xml><?xml version="1.0" encoding="utf-8"?>
<worksheet xmlns="http://schemas.openxmlformats.org/spreadsheetml/2006/main">
  <sheetPr>
    <tabColor rgb="00595959"/>
    <outlinePr applyStyles="1" summaryBelow="0" summaryRight="1"/>
    <pageSetUpPr/>
  </sheetPr>
  <dimension ref="A1:N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4" customHeight="1">
      <c r="A1" s="1" t="inlineStr">
        <is>
          <t>FACT_ManualExpenses</t>
        </is>
      </c>
    </row>
    <row r="2" ht="16" customHeight="1">
      <c r="A2" s="17" t="inlineStr">
        <is>
          <t>PASSRESS MIS   |   Home ▸ FACT_ManualExpenses</t>
        </is>
      </c>
    </row>
    <row r="3" ht="14" customHeight="1">
      <c r="A3" s="3" t="inlineStr">
        <is>
          <t>Sheet Documentation  (use the  +  outline control at left to expand)</t>
        </is>
      </c>
    </row>
    <row r="4" hidden="1" outlineLevel="1" ht="13" customHeight="1">
      <c r="A4" s="4" t="inlineStr">
        <is>
          <t>Purpose</t>
        </is>
      </c>
      <c r="B4" s="5" t="inlineStr">
        <is>
          <t>Manually entered fact, kept structurally separate from Shopify-sourced facts. Mirrors the input table(s) on 10_Expenses — this is the Data Model-ready version of it.</t>
        </is>
      </c>
    </row>
    <row r="5" hidden="1" outlineLevel="1" ht="13" customHeight="1">
      <c r="A5" s="4" t="inlineStr">
        <is>
          <t>Input tables</t>
        </is>
      </c>
      <c r="B5" s="5" t="inlineStr">
        <is>
          <t>10_Expenses manual entry table(s).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Grain matches its source table on the visible sheet, one-for-one.</t>
        </is>
      </c>
    </row>
    <row r="8" hidden="1" outlineLevel="1" ht="13" customHeight="1">
      <c r="A8" s="4" t="inlineStr">
        <is>
          <t>Future data source</t>
        </is>
      </c>
      <c r="B8" s="5" t="inlineStr">
        <is>
          <t>Live now: paste passress-mis/power-query/star-schema/FACT_ManualExpenses.pq — see passress-mis/dax/README.md for setup order.</t>
        </is>
      </c>
    </row>
    <row r="9" hidden="1" outlineLevel="1"/>
    <row r="10" ht="6" customHeight="1"/>
    <row r="11" ht="18" customHeight="1">
      <c r="B11" s="39" t="inlineStr">
        <is>
          <t>ExpenseKey</t>
        </is>
      </c>
      <c r="C11" s="39" t="inlineStr">
        <is>
          <t>DateKey</t>
        </is>
      </c>
      <c r="D11" s="39" t="inlineStr">
        <is>
          <t>ExpenseDate</t>
        </is>
      </c>
      <c r="E11" s="39" t="inlineStr">
        <is>
          <t>ExpenseCategory</t>
        </is>
      </c>
      <c r="F11" s="39" t="inlineStr">
        <is>
          <t>ExpenseSubcategory</t>
        </is>
      </c>
      <c r="G11" s="39" t="inlineStr">
        <is>
          <t>SupplierID</t>
        </is>
      </c>
      <c r="H11" s="39" t="inlineStr">
        <is>
          <t>Amount</t>
        </is>
      </c>
      <c r="I11" s="39" t="inlineStr">
        <is>
          <t>Currency</t>
        </is>
      </c>
      <c r="J11" s="39" t="inlineStr">
        <is>
          <t>PaymentMethod</t>
        </is>
      </c>
      <c r="K11" s="39" t="inlineStr">
        <is>
          <t>RelatedCollection</t>
        </is>
      </c>
      <c r="L11" s="39" t="inlineStr">
        <is>
          <t>RelatedSKU</t>
        </is>
      </c>
      <c r="M11" s="39" t="inlineStr">
        <is>
          <t>CostCenter</t>
        </is>
      </c>
      <c r="N11" s="39" t="inlineStr">
        <is>
          <t>InvoiceNumber</t>
        </is>
      </c>
    </row>
    <row r="12">
      <c r="B12" s="58" t="n"/>
      <c r="C12" s="58" t="n"/>
      <c r="D12" s="58" t="n"/>
      <c r="E12" s="58" t="n"/>
      <c r="F12" s="58" t="n"/>
      <c r="G12" s="58" t="n"/>
      <c r="H12" s="58" t="n"/>
      <c r="I12" s="58" t="n"/>
      <c r="J12" s="58" t="n"/>
      <c r="K12" s="58" t="n"/>
      <c r="L12" s="58" t="n"/>
      <c r="M12" s="58" t="n"/>
      <c r="N12" s="58"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5:N5"/>
    <mergeCell ref="A3:N3"/>
    <mergeCell ref="B8:N8"/>
    <mergeCell ref="B4:N4"/>
    <mergeCell ref="A2:N2"/>
    <mergeCell ref="B7:N7"/>
    <mergeCell ref="B6:N6"/>
    <mergeCell ref="A1:N1"/>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39.xml><?xml version="1.0" encoding="utf-8"?>
<worksheet xmlns="http://schemas.openxmlformats.org/spreadsheetml/2006/main">
  <sheetPr>
    <tabColor rgb="00595959"/>
    <outlinePr applyStyles="1" summaryBelow="0" summaryRight="1"/>
    <pageSetUpPr/>
  </sheetPr>
  <dimension ref="A1:G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s>
  <sheetData>
    <row r="1" ht="34" customHeight="1">
      <c r="A1" s="1" t="inlineStr">
        <is>
          <t>FACT_CapitalTransactions</t>
        </is>
      </c>
    </row>
    <row r="2" ht="16" customHeight="1">
      <c r="A2" s="17" t="inlineStr">
        <is>
          <t>PASSRESS MIS   |   Home ▸ FACT_CapitalTransactions</t>
        </is>
      </c>
    </row>
    <row r="3" ht="14" customHeight="1">
      <c r="A3" s="3" t="inlineStr">
        <is>
          <t>Sheet Documentation  (use the  +  outline control at left to expand)</t>
        </is>
      </c>
    </row>
    <row r="4" hidden="1" outlineLevel="1" ht="13" customHeight="1">
      <c r="A4" s="4" t="inlineStr">
        <is>
          <t>Purpose</t>
        </is>
      </c>
      <c r="B4" s="5" t="inlineStr">
        <is>
          <t>Manually entered fact, kept structurally separate from Shopify-sourced facts. Mirrors the input table(s) on 11_Capital — this is the Data Model-ready version of it.</t>
        </is>
      </c>
    </row>
    <row r="5" hidden="1" outlineLevel="1" ht="13" customHeight="1">
      <c r="A5" s="4" t="inlineStr">
        <is>
          <t>Input tables</t>
        </is>
      </c>
      <c r="B5" s="5" t="inlineStr">
        <is>
          <t>11_Capital manual entry table(s).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Grain matches its source table on the visible sheet, one-for-one.</t>
        </is>
      </c>
    </row>
    <row r="8" hidden="1" outlineLevel="1" ht="13" customHeight="1">
      <c r="A8" s="4" t="inlineStr">
        <is>
          <t>Future data source</t>
        </is>
      </c>
      <c r="B8" s="5" t="inlineStr">
        <is>
          <t>Live now: paste passress-mis/power-query/star-schema/FACT_CapitalTransactions.pq — see passress-mis/dax/README.md for setup order.</t>
        </is>
      </c>
    </row>
    <row r="9" hidden="1" outlineLevel="1"/>
    <row r="10" ht="6" customHeight="1"/>
    <row r="11" ht="18" customHeight="1">
      <c r="B11" s="39" t="inlineStr">
        <is>
          <t>CapitalKey</t>
        </is>
      </c>
      <c r="C11" s="39" t="inlineStr">
        <is>
          <t>DateKey</t>
        </is>
      </c>
      <c r="D11" s="39" t="inlineStr">
        <is>
          <t>Date</t>
        </is>
      </c>
      <c r="E11" s="39" t="inlineStr">
        <is>
          <t>Owner</t>
        </is>
      </c>
      <c r="F11" s="39" t="inlineStr">
        <is>
          <t>TransactionType</t>
        </is>
      </c>
      <c r="G11" s="39" t="inlineStr">
        <is>
          <t>Amount</t>
        </is>
      </c>
    </row>
    <row r="12">
      <c r="B12" s="58" t="n"/>
      <c r="C12" s="58" t="n"/>
      <c r="D12" s="58" t="n"/>
      <c r="E12" s="58" t="n"/>
      <c r="F12" s="58" t="n"/>
      <c r="G12" s="58"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1:G1"/>
    <mergeCell ref="B5:G5"/>
    <mergeCell ref="A3:G3"/>
    <mergeCell ref="B8:G8"/>
    <mergeCell ref="B4:G4"/>
    <mergeCell ref="A2:G2"/>
    <mergeCell ref="B7:G7"/>
    <mergeCell ref="B6:G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0.xml><?xml version="1.0" encoding="utf-8"?>
<worksheet xmlns="http://schemas.openxmlformats.org/spreadsheetml/2006/main">
  <sheetPr>
    <tabColor rgb="00595959"/>
    <outlinePr applyStyles="1" summaryBelow="0" summaryRight="1"/>
    <pageSetUpPr/>
  </sheetPr>
  <dimension ref="A1:H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 t="inlineStr">
        <is>
          <t>FACT_PurchaseOrderHeader</t>
        </is>
      </c>
    </row>
    <row r="2" ht="16" customHeight="1">
      <c r="A2" s="17" t="inlineStr">
        <is>
          <t>PASSRESS MIS   |   Home ▸ FACT_PurchaseOrderHeader</t>
        </is>
      </c>
    </row>
    <row r="3" ht="14" customHeight="1">
      <c r="A3" s="3" t="inlineStr">
        <is>
          <t>Sheet Documentation  (use the  +  outline control at left to expand)</t>
        </is>
      </c>
    </row>
    <row r="4" hidden="1" outlineLevel="1" ht="13" customHeight="1">
      <c r="A4" s="4" t="inlineStr">
        <is>
          <t>Purpose</t>
        </is>
      </c>
      <c r="B4" s="5" t="inlineStr">
        <is>
          <t>Manually entered fact, kept structurally separate from Shopify-sourced facts. Mirrors the input table(s) on 12_Suppliers (PO Header table) — this is the Data Model-ready version of it.</t>
        </is>
      </c>
    </row>
    <row r="5" hidden="1" outlineLevel="1" ht="13" customHeight="1">
      <c r="A5" s="4" t="inlineStr">
        <is>
          <t>Input tables</t>
        </is>
      </c>
      <c r="B5" s="5" t="inlineStr">
        <is>
          <t>12_Suppliers (PO Header table) manual entry table(s).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Grain matches its source table on the visible sheet, one-for-one.</t>
        </is>
      </c>
    </row>
    <row r="8" hidden="1" outlineLevel="1" ht="13" customHeight="1">
      <c r="A8" s="4" t="inlineStr">
        <is>
          <t>Future data source</t>
        </is>
      </c>
      <c r="B8" s="5" t="inlineStr">
        <is>
          <t>Live now: paste passress-mis/power-query/star-schema/FACT_PurchaseOrderHeader.pq — see passress-mis/dax/README.md for setup order.</t>
        </is>
      </c>
    </row>
    <row r="9" hidden="1" outlineLevel="1"/>
    <row r="10" ht="6" customHeight="1"/>
    <row r="11" ht="18" customHeight="1">
      <c r="B11" s="39" t="inlineStr">
        <is>
          <t>PONumber</t>
        </is>
      </c>
      <c r="C11" s="39" t="inlineStr">
        <is>
          <t>DateKey</t>
        </is>
      </c>
      <c r="D11" s="39" t="inlineStr">
        <is>
          <t>SupplierID</t>
        </is>
      </c>
      <c r="E11" s="39" t="inlineStr">
        <is>
          <t>OrderDate</t>
        </is>
      </c>
      <c r="F11" s="39" t="inlineStr">
        <is>
          <t>ExpectedDeliveryDate</t>
        </is>
      </c>
      <c r="G11" s="39" t="inlineStr">
        <is>
          <t>Status</t>
        </is>
      </c>
      <c r="H11" s="39" t="inlineStr">
        <is>
          <t>Currency</t>
        </is>
      </c>
    </row>
    <row r="12">
      <c r="B12" s="58" t="n"/>
      <c r="C12" s="58" t="n"/>
      <c r="D12" s="58" t="n"/>
      <c r="E12" s="58" t="n"/>
      <c r="F12" s="58" t="n"/>
      <c r="G12" s="58" t="n"/>
      <c r="H12" s="58"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H8"/>
    <mergeCell ref="A3:H3"/>
    <mergeCell ref="B4:H4"/>
    <mergeCell ref="A2:H2"/>
    <mergeCell ref="B6:H6"/>
    <mergeCell ref="B7:H7"/>
    <mergeCell ref="A1:H1"/>
    <mergeCell ref="B5:H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1.xml><?xml version="1.0" encoding="utf-8"?>
<worksheet xmlns="http://schemas.openxmlformats.org/spreadsheetml/2006/main">
  <sheetPr>
    <tabColor rgb="00595959"/>
    <outlinePr applyStyles="1" summaryBelow="0" summaryRight="1"/>
    <pageSetUpPr/>
  </sheetPr>
  <dimension ref="A1:F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s>
  <sheetData>
    <row r="1" ht="34" customHeight="1">
      <c r="A1" s="1" t="inlineStr">
        <is>
          <t>FACT_PurchaseOrderLines</t>
        </is>
      </c>
    </row>
    <row r="2" ht="16" customHeight="1">
      <c r="A2" s="17" t="inlineStr">
        <is>
          <t>PASSRESS MIS   |   Home ▸ FACT_PurchaseOrderLines</t>
        </is>
      </c>
    </row>
    <row r="3" ht="14" customHeight="1">
      <c r="A3" s="3" t="inlineStr">
        <is>
          <t>Sheet Documentation  (use the  +  outline control at left to expand)</t>
        </is>
      </c>
    </row>
    <row r="4" hidden="1" outlineLevel="1" ht="13" customHeight="1">
      <c r="A4" s="4" t="inlineStr">
        <is>
          <t>Purpose</t>
        </is>
      </c>
      <c r="B4" s="5" t="inlineStr">
        <is>
          <t>Manually entered fact, kept structurally separate from Shopify-sourced facts. Mirrors the input table(s) on 12_Suppliers (PO Lines table) — this is the Data Model-ready version of it.</t>
        </is>
      </c>
    </row>
    <row r="5" hidden="1" outlineLevel="1" ht="13" customHeight="1">
      <c r="A5" s="4" t="inlineStr">
        <is>
          <t>Input tables</t>
        </is>
      </c>
      <c r="B5" s="5" t="inlineStr">
        <is>
          <t>12_Suppliers (PO Lines table) manual entry table(s).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Grain matches its source table on the visible sheet, one-for-one.</t>
        </is>
      </c>
    </row>
    <row r="8" hidden="1" outlineLevel="1" ht="13" customHeight="1">
      <c r="A8" s="4" t="inlineStr">
        <is>
          <t>Future data source</t>
        </is>
      </c>
      <c r="B8" s="5" t="inlineStr">
        <is>
          <t>Live now: paste passress-mis/power-query/star-schema/FACT_PurchaseOrderLines.pq — see passress-mis/dax/README.md for setup order.</t>
        </is>
      </c>
    </row>
    <row r="9" hidden="1" outlineLevel="1"/>
    <row r="10" ht="6" customHeight="1"/>
    <row r="11" ht="18" customHeight="1">
      <c r="B11" s="39" t="inlineStr">
        <is>
          <t>PONumber</t>
        </is>
      </c>
      <c r="C11" s="39" t="inlineStr">
        <is>
          <t>SKU</t>
        </is>
      </c>
      <c r="D11" s="39" t="inlineStr">
        <is>
          <t>QuantityOrdered</t>
        </is>
      </c>
      <c r="E11" s="39" t="inlineStr">
        <is>
          <t>UnitCost</t>
        </is>
      </c>
      <c r="F11" s="39" t="inlineStr">
        <is>
          <t>TotalCost</t>
        </is>
      </c>
    </row>
    <row r="12">
      <c r="B12" s="58" t="n"/>
      <c r="C12" s="58" t="n"/>
      <c r="D12" s="58" t="n"/>
      <c r="E12" s="58" t="n"/>
      <c r="F12" s="58"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4:F4"/>
    <mergeCell ref="A2:F2"/>
    <mergeCell ref="B7:F7"/>
    <mergeCell ref="B6:F6"/>
    <mergeCell ref="A1:F1"/>
    <mergeCell ref="B5:F5"/>
    <mergeCell ref="B8:F8"/>
    <mergeCell ref="A3:F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2.xml><?xml version="1.0" encoding="utf-8"?>
<worksheet xmlns="http://schemas.openxmlformats.org/spreadsheetml/2006/main">
  <sheetPr>
    <tabColor rgb="00595959"/>
    <outlinePr applyStyles="1" summaryBelow="0" summaryRight="1"/>
    <pageSetUpPr/>
  </sheetPr>
  <dimension ref="A1:J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ht="34" customHeight="1">
      <c r="A1" s="1" t="inlineStr">
        <is>
          <t>FACT_GoodsReceipt</t>
        </is>
      </c>
    </row>
    <row r="2" ht="16" customHeight="1">
      <c r="A2" s="17" t="inlineStr">
        <is>
          <t>PASSRESS MIS   |   Home ▸ FACT_GoodsReceipt</t>
        </is>
      </c>
    </row>
    <row r="3" ht="14" customHeight="1">
      <c r="A3" s="3" t="inlineStr">
        <is>
          <t>Sheet Documentation  (use the  +  outline control at left to expand)</t>
        </is>
      </c>
    </row>
    <row r="4" hidden="1" outlineLevel="1" ht="13" customHeight="1">
      <c r="A4" s="4" t="inlineStr">
        <is>
          <t>Purpose</t>
        </is>
      </c>
      <c r="B4" s="5" t="inlineStr">
        <is>
          <t>Manually entered fact, kept structurally separate from Shopify-sourced facts. Mirrors the input table(s) on 12_Suppliers (Goods Receipt table) — this is the Data Model-ready version of it.</t>
        </is>
      </c>
    </row>
    <row r="5" hidden="1" outlineLevel="1" ht="13" customHeight="1">
      <c r="A5" s="4" t="inlineStr">
        <is>
          <t>Input tables</t>
        </is>
      </c>
      <c r="B5" s="5" t="inlineStr">
        <is>
          <t>12_Suppliers (Goods Receipt table) manual entry table(s).</t>
        </is>
      </c>
    </row>
    <row r="6" hidden="1" outlineLevel="1" ht="13" customHeight="1">
      <c r="A6" s="4" t="inlineStr">
        <is>
          <t>Output tables</t>
        </is>
      </c>
      <c r="B6" s="5" t="inlineStr">
        <is>
          <t>Referenced by DAX measures — see passress-mis/dax/MEASURES.md.</t>
        </is>
      </c>
    </row>
    <row r="7" hidden="1" outlineLevel="1" ht="13" customHeight="1">
      <c r="A7" s="4" t="inlineStr">
        <is>
          <t>Relationships</t>
        </is>
      </c>
      <c r="B7" s="5" t="inlineStr">
        <is>
          <t>Grain matches its source table on the visible sheet, one-for-one.</t>
        </is>
      </c>
    </row>
    <row r="8" hidden="1" outlineLevel="1" ht="13" customHeight="1">
      <c r="A8" s="4" t="inlineStr">
        <is>
          <t>Future data source</t>
        </is>
      </c>
      <c r="B8" s="5" t="inlineStr">
        <is>
          <t>Live now: paste passress-mis/power-query/star-schema/FACT_GoodsReceipt.pq — see passress-mis/dax/README.md for setup order.</t>
        </is>
      </c>
    </row>
    <row r="9" hidden="1" outlineLevel="1"/>
    <row r="10" ht="6" customHeight="1"/>
    <row r="11" ht="18" customHeight="1">
      <c r="B11" s="39" t="inlineStr">
        <is>
          <t>PONumber</t>
        </is>
      </c>
      <c r="C11" s="39" t="inlineStr">
        <is>
          <t>DateKey</t>
        </is>
      </c>
      <c r="D11" s="39" t="inlineStr">
        <is>
          <t>SKU</t>
        </is>
      </c>
      <c r="E11" s="39" t="inlineStr">
        <is>
          <t>GoodsReceivedDate</t>
        </is>
      </c>
      <c r="F11" s="39" t="inlineStr">
        <is>
          <t>QuantityReceived</t>
        </is>
      </c>
      <c r="G11" s="39" t="inlineStr">
        <is>
          <t>RemainingQuantity</t>
        </is>
      </c>
      <c r="H11" s="39" t="inlineStr">
        <is>
          <t>ActualUnitCost</t>
        </is>
      </c>
      <c r="I11" s="39" t="inlineStr">
        <is>
          <t>VarianceFromPO</t>
        </is>
      </c>
      <c r="J11" s="39" t="inlineStr">
        <is>
          <t>Warehouse</t>
        </is>
      </c>
    </row>
    <row r="12">
      <c r="B12" s="58" t="n"/>
      <c r="C12" s="58" t="n"/>
      <c r="D12" s="58" t="n"/>
      <c r="E12" s="58" t="n"/>
      <c r="F12" s="58" t="n"/>
      <c r="G12" s="58" t="n"/>
      <c r="H12" s="58" t="n"/>
      <c r="I12" s="58" t="n"/>
      <c r="J12" s="58"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7:J7"/>
    <mergeCell ref="A1:J1"/>
    <mergeCell ref="B5:J5"/>
    <mergeCell ref="A3:J3"/>
    <mergeCell ref="B8:J8"/>
    <mergeCell ref="B4:J4"/>
    <mergeCell ref="A2:J2"/>
    <mergeCell ref="B6:J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3.xml><?xml version="1.0" encoding="utf-8"?>
<worksheet xmlns="http://schemas.openxmlformats.org/spreadsheetml/2006/main">
  <sheetPr>
    <tabColor rgb="00C55A11"/>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LOG_RefreshHistory</t>
        </is>
      </c>
    </row>
    <row r="2" ht="16" customHeight="1">
      <c r="A2" s="17" t="inlineStr">
        <is>
          <t>PASSRESS MIS   |   Home ▸ LOG_RefreshHistory</t>
        </is>
      </c>
    </row>
    <row r="3" ht="14" customHeight="1">
      <c r="A3" s="3" t="inlineStr">
        <is>
          <t>Sheet Documentation  (use the  +  outline control at left to expand)</t>
        </is>
      </c>
    </row>
    <row r="4" hidden="1" outlineLevel="1" ht="13" customHeight="1">
      <c r="A4" s="4" t="inlineStr">
        <is>
          <t>Purpose</t>
        </is>
      </c>
      <c r="B4" s="5" t="inlineStr">
        <is>
          <t>Append-only log of every workbook refresh: what ran, how many rows moved, and how long it took.</t>
        </is>
      </c>
    </row>
    <row r="5" hidden="1" outlineLevel="1" ht="13" customHeight="1">
      <c r="A5" s="4" t="inlineStr">
        <is>
          <t>Input tables</t>
        </is>
      </c>
      <c r="B5" s="5" t="inlineStr">
        <is>
          <t>Written by the Power Query refresh process (Phase 2).</t>
        </is>
      </c>
    </row>
    <row r="6" hidden="1" outlineLevel="1" ht="13" customHeight="1">
      <c r="A6" s="4" t="inlineStr">
        <is>
          <t>Output tables</t>
        </is>
      </c>
      <c r="B6" s="5" t="inlineStr">
        <is>
          <t>Displayed on 14_Data_Quality and summarized on 01_Home.</t>
        </is>
      </c>
    </row>
    <row r="7" hidden="1" outlineLevel="1" ht="13" customHeight="1">
      <c r="A7" s="4" t="inlineStr">
        <is>
          <t>Relationships</t>
        </is>
      </c>
      <c r="B7" s="5" t="inlineStr">
        <is>
          <t>No Data Model relationship — a flat audit trail, queried directly by 14_Data_Quality.</t>
        </is>
      </c>
    </row>
    <row r="8" hidden="1" outlineLevel="1" ht="13" customHeight="1">
      <c r="A8" s="4" t="inlineStr">
        <is>
          <t>Future data source</t>
        </is>
      </c>
      <c r="B8" s="5" t="inlineStr">
        <is>
          <t>Populated automatically on every Refresh All — Phase 2.</t>
        </is>
      </c>
    </row>
    <row r="9" hidden="1" outlineLevel="1"/>
    <row r="10" ht="6" customHeight="1"/>
    <row r="11" ht="18" customHeight="1">
      <c r="B11" s="50" t="inlineStr">
        <is>
          <t>RefreshID</t>
        </is>
      </c>
      <c r="C11" s="50" t="inlineStr">
        <is>
          <t>Timestamp</t>
        </is>
      </c>
      <c r="D11" s="50" t="inlineStr">
        <is>
          <t>Source</t>
        </is>
      </c>
      <c r="E11" s="50" t="inlineStr">
        <is>
          <t>RowsLoaded</t>
        </is>
      </c>
      <c r="F11" s="50" t="inlineStr">
        <is>
          <t>RowsUpdated</t>
        </is>
      </c>
      <c r="G11" s="50" t="inlineStr">
        <is>
          <t>Errors</t>
        </is>
      </c>
      <c r="H11" s="50" t="inlineStr">
        <is>
          <t>DurationSeconds</t>
        </is>
      </c>
      <c r="I11" s="50" t="inlineStr">
        <is>
          <t>TriggeredBy</t>
        </is>
      </c>
    </row>
    <row r="12">
      <c r="B12" s="30" t="n"/>
      <c r="C12" s="30" t="n"/>
      <c r="D12" s="30" t="n"/>
      <c r="E12" s="30" t="n"/>
      <c r="F12" s="30" t="n"/>
      <c r="G12" s="30" t="n"/>
      <c r="H12" s="30" t="n"/>
      <c r="I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4.xml><?xml version="1.0" encoding="utf-8"?>
<worksheet xmlns="http://schemas.openxmlformats.org/spreadsheetml/2006/main">
  <sheetPr>
    <tabColor rgb="00C55A11"/>
    <outlinePr applyStyles="1" summaryBelow="0" summaryRight="1"/>
    <pageSetUpPr/>
  </sheetPr>
  <dimension ref="A1:G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s>
  <sheetData>
    <row r="1" ht="34" customHeight="1">
      <c r="A1" s="1" t="inlineStr">
        <is>
          <t>LOG_DataQuality</t>
        </is>
      </c>
    </row>
    <row r="2" ht="16" customHeight="1">
      <c r="A2" s="17" t="inlineStr">
        <is>
          <t>PASSRESS MIS   |   Home ▸ LOG_DataQuality</t>
        </is>
      </c>
    </row>
    <row r="3" ht="14" customHeight="1">
      <c r="A3" s="3" t="inlineStr">
        <is>
          <t>Sheet Documentation  (use the  +  outline control at left to expand)</t>
        </is>
      </c>
    </row>
    <row r="4" hidden="1" outlineLevel="1" ht="13" customHeight="1">
      <c r="A4" s="4" t="inlineStr">
        <is>
          <t>Purpose</t>
        </is>
      </c>
      <c r="B4" s="5" t="inlineStr">
        <is>
          <t>Append-only log of validation-rule results, one row per check per refresh.</t>
        </is>
      </c>
    </row>
    <row r="5" hidden="1" outlineLevel="1" ht="13" customHeight="1">
      <c r="A5" s="4" t="inlineStr">
        <is>
          <t>Input tables</t>
        </is>
      </c>
      <c r="B5" s="5" t="inlineStr">
        <is>
          <t>Written by the Power Query refresh process (Phase 2).</t>
        </is>
      </c>
    </row>
    <row r="6" hidden="1" outlineLevel="1" ht="13" customHeight="1">
      <c r="A6" s="4" t="inlineStr">
        <is>
          <t>Output tables</t>
        </is>
      </c>
      <c r="B6" s="5" t="inlineStr">
        <is>
          <t>Displayed on 14_Data_Quality and summarized on 01_Home.</t>
        </is>
      </c>
    </row>
    <row r="7" hidden="1" outlineLevel="1" ht="13" customHeight="1">
      <c r="A7" s="4" t="inlineStr">
        <is>
          <t>Relationships</t>
        </is>
      </c>
      <c r="B7" s="5" t="inlineStr">
        <is>
          <t>No Data Model relationship — a flat audit trail, queried directly by 14_Data_Quality.</t>
        </is>
      </c>
    </row>
    <row r="8" hidden="1" outlineLevel="1" ht="13" customHeight="1">
      <c r="A8" s="4" t="inlineStr">
        <is>
          <t>Future data source</t>
        </is>
      </c>
      <c r="B8" s="5" t="inlineStr">
        <is>
          <t>Populated automatically on every Refresh All — Phase 2.</t>
        </is>
      </c>
    </row>
    <row r="9" hidden="1" outlineLevel="1"/>
    <row r="10" ht="6" customHeight="1"/>
    <row r="11" ht="18" customHeight="1">
      <c r="B11" s="50" t="inlineStr">
        <is>
          <t>CheckID</t>
        </is>
      </c>
      <c r="C11" s="50" t="inlineStr">
        <is>
          <t>Timestamp</t>
        </is>
      </c>
      <c r="D11" s="50" t="inlineStr">
        <is>
          <t>CheckName</t>
        </is>
      </c>
      <c r="E11" s="50" t="inlineStr">
        <is>
          <t>TableName</t>
        </is>
      </c>
      <c r="F11" s="50" t="inlineStr">
        <is>
          <t>Status</t>
        </is>
      </c>
      <c r="G11" s="50" t="inlineStr">
        <is>
          <t>Details</t>
        </is>
      </c>
    </row>
    <row r="12">
      <c r="B12" s="30" t="n"/>
      <c r="C12" s="30" t="n"/>
      <c r="D12" s="30" t="n"/>
      <c r="E12" s="30" t="n"/>
      <c r="F12" s="30" t="n"/>
      <c r="G12" s="3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1:G1"/>
    <mergeCell ref="B5:G5"/>
    <mergeCell ref="A3:G3"/>
    <mergeCell ref="B8:G8"/>
    <mergeCell ref="B4:G4"/>
    <mergeCell ref="A2:G2"/>
    <mergeCell ref="B7:G7"/>
    <mergeCell ref="B6:G6"/>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5.xml><?xml version="1.0" encoding="utf-8"?>
<worksheet xmlns="http://schemas.openxmlformats.org/spreadsheetml/2006/main">
  <sheetPr>
    <tabColor rgb="008064A2"/>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RAW_MetaAds</t>
        </is>
      </c>
    </row>
    <row r="2" ht="16" customHeight="1">
      <c r="A2" s="17" t="inlineStr">
        <is>
          <t>PASSRESS MIS   |   Home ▸ RAW_MetaAds</t>
        </is>
      </c>
    </row>
    <row r="3" ht="14" customHeight="1">
      <c r="A3" s="3" t="inlineStr">
        <is>
          <t>Sheet Documentation  (use the  +  outline control at left to expand)</t>
        </is>
      </c>
    </row>
    <row r="4" hidden="1" outlineLevel="1" ht="13" customHeight="1">
      <c r="A4" s="4" t="inlineStr">
        <is>
          <t>Purpose</t>
        </is>
      </c>
      <c r="B4" s="5" t="inlineStr">
        <is>
          <t>RESERVED, NOT CONNECTED — placeholder for future Meta Ads (Facebook/Instagram) API ingestion. No API calls, no credentials, no scheduled refresh exist for this yet.</t>
        </is>
      </c>
    </row>
    <row r="5" hidden="1" outlineLevel="1" ht="13" customHeight="1">
      <c r="A5" s="4" t="inlineStr">
        <is>
          <t>Input tables</t>
        </is>
      </c>
      <c r="B5" s="5" t="inlineStr">
        <is>
          <t>None yet. Future: Meta Ads (Facebook/Instagram)'s own API/export.</t>
        </is>
      </c>
    </row>
    <row r="6" hidden="1" outlineLevel="1" ht="13" customHeight="1">
      <c r="A6" s="4" t="inlineStr">
        <is>
          <t>Output tables</t>
        </is>
      </c>
      <c r="B6" s="5" t="inlineStr">
        <is>
          <t>Will feed FACT_MarketingSpend once connected.</t>
        </is>
      </c>
    </row>
    <row r="7" hidden="1" outlineLevel="1" ht="13" customHeight="1">
      <c r="A7" s="4" t="inlineStr">
        <is>
          <t>Relationships</t>
        </is>
      </c>
      <c r="B7" s="5" t="inlineStr">
        <is>
          <t>DateKey -&gt; DIM_Date; Campaign -&gt; a future DIM_Campaign (not yet built — see FACT_MarketingSpend's notes).</t>
        </is>
      </c>
    </row>
    <row r="8" hidden="1" outlineLevel="1" ht="13" customHeight="1">
      <c r="A8" s="4" t="inlineStr">
        <is>
          <t>Future data source</t>
        </is>
      </c>
      <c r="B8" s="5" t="inlineStr">
        <is>
          <t>Meta Ads (Facebook/Instagram) API — a future phase (6+), following the exact Power Query pattern power-query/README.md established for Shopify (auth via Extension.CurrentCredential, paginated fetch, incremental refresh).</t>
        </is>
      </c>
    </row>
    <row r="9" hidden="1" outlineLevel="1"/>
    <row r="10" ht="6" customHeight="1"/>
    <row r="11" ht="18" customHeight="1">
      <c r="B11" s="59" t="inlineStr">
        <is>
          <t>DateKey</t>
        </is>
      </c>
      <c r="C11" s="59" t="inlineStr">
        <is>
          <t>CampaignID</t>
        </is>
      </c>
      <c r="D11" s="59" t="inlineStr">
        <is>
          <t>CampaignName</t>
        </is>
      </c>
      <c r="E11" s="59" t="inlineStr">
        <is>
          <t>Spend</t>
        </is>
      </c>
      <c r="F11" s="59" t="inlineStr">
        <is>
          <t>Impressions</t>
        </is>
      </c>
      <c r="G11" s="59" t="inlineStr">
        <is>
          <t>Clicks</t>
        </is>
      </c>
      <c r="H11" s="59" t="inlineStr">
        <is>
          <t>Conversions</t>
        </is>
      </c>
      <c r="I11" s="59" t="inlineStr">
        <is>
          <t>Currency</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6.xml><?xml version="1.0" encoding="utf-8"?>
<worksheet xmlns="http://schemas.openxmlformats.org/spreadsheetml/2006/main">
  <sheetPr>
    <tabColor rgb="008064A2"/>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RAW_GoogleAnalytics</t>
        </is>
      </c>
    </row>
    <row r="2" ht="16" customHeight="1">
      <c r="A2" s="17" t="inlineStr">
        <is>
          <t>PASSRESS MIS   |   Home ▸ RAW_GoogleAnalytics</t>
        </is>
      </c>
    </row>
    <row r="3" ht="14" customHeight="1">
      <c r="A3" s="3" t="inlineStr">
        <is>
          <t>Sheet Documentation  (use the  +  outline control at left to expand)</t>
        </is>
      </c>
    </row>
    <row r="4" hidden="1" outlineLevel="1" ht="13" customHeight="1">
      <c r="A4" s="4" t="inlineStr">
        <is>
          <t>Purpose</t>
        </is>
      </c>
      <c r="B4" s="5" t="inlineStr">
        <is>
          <t>RESERVED, NOT CONNECTED — placeholder for future Google Analytics API ingestion. No API calls, no credentials, no scheduled refresh exist for this yet.</t>
        </is>
      </c>
    </row>
    <row r="5" hidden="1" outlineLevel="1" ht="13" customHeight="1">
      <c r="A5" s="4" t="inlineStr">
        <is>
          <t>Input tables</t>
        </is>
      </c>
      <c r="B5" s="5" t="inlineStr">
        <is>
          <t>None yet. Future: Google Analytics's own API/export.</t>
        </is>
      </c>
    </row>
    <row r="6" hidden="1" outlineLevel="1" ht="13" customHeight="1">
      <c r="A6" s="4" t="inlineStr">
        <is>
          <t>Output tables</t>
        </is>
      </c>
      <c r="B6" s="5" t="inlineStr">
        <is>
          <t>Will feed FACT_MarketingSpend once connected.</t>
        </is>
      </c>
    </row>
    <row r="7" hidden="1" outlineLevel="1" ht="13" customHeight="1">
      <c r="A7" s="4" t="inlineStr">
        <is>
          <t>Relationships</t>
        </is>
      </c>
      <c r="B7" s="5" t="inlineStr">
        <is>
          <t>DateKey -&gt; DIM_Date; Campaign -&gt; a future DIM_Campaign (not yet built — see FACT_MarketingSpend's notes).</t>
        </is>
      </c>
    </row>
    <row r="8" hidden="1" outlineLevel="1" ht="13" customHeight="1">
      <c r="A8" s="4" t="inlineStr">
        <is>
          <t>Future data source</t>
        </is>
      </c>
      <c r="B8" s="5" t="inlineStr">
        <is>
          <t>Google Analytics API — a future phase (6+), following the exact Power Query pattern power-query/README.md established for Shopify (auth via Extension.CurrentCredential, paginated fetch, incremental refresh).</t>
        </is>
      </c>
    </row>
    <row r="9" hidden="1" outlineLevel="1"/>
    <row r="10" ht="6" customHeight="1"/>
    <row r="11" ht="18" customHeight="1">
      <c r="B11" s="59" t="inlineStr">
        <is>
          <t>DateKey</t>
        </is>
      </c>
      <c r="C11" s="59" t="inlineStr">
        <is>
          <t>CampaignID</t>
        </is>
      </c>
      <c r="D11" s="59" t="inlineStr">
        <is>
          <t>CampaignName</t>
        </is>
      </c>
      <c r="E11" s="59" t="inlineStr">
        <is>
          <t>Spend</t>
        </is>
      </c>
      <c r="F11" s="59" t="inlineStr">
        <is>
          <t>Impressions</t>
        </is>
      </c>
      <c r="G11" s="59" t="inlineStr">
        <is>
          <t>Clicks</t>
        </is>
      </c>
      <c r="H11" s="59" t="inlineStr">
        <is>
          <t>Conversions</t>
        </is>
      </c>
      <c r="I11" s="59" t="inlineStr">
        <is>
          <t>Currency</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7.xml><?xml version="1.0" encoding="utf-8"?>
<worksheet xmlns="http://schemas.openxmlformats.org/spreadsheetml/2006/main">
  <sheetPr>
    <tabColor rgb="008064A2"/>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RAW_GoogleAds</t>
        </is>
      </c>
    </row>
    <row r="2" ht="16" customHeight="1">
      <c r="A2" s="17" t="inlineStr">
        <is>
          <t>PASSRESS MIS   |   Home ▸ RAW_GoogleAds</t>
        </is>
      </c>
    </row>
    <row r="3" ht="14" customHeight="1">
      <c r="A3" s="3" t="inlineStr">
        <is>
          <t>Sheet Documentation  (use the  +  outline control at left to expand)</t>
        </is>
      </c>
    </row>
    <row r="4" hidden="1" outlineLevel="1" ht="13" customHeight="1">
      <c r="A4" s="4" t="inlineStr">
        <is>
          <t>Purpose</t>
        </is>
      </c>
      <c r="B4" s="5" t="inlineStr">
        <is>
          <t>RESERVED, NOT CONNECTED — placeholder for future Google Ads API ingestion. No API calls, no credentials, no scheduled refresh exist for this yet.</t>
        </is>
      </c>
    </row>
    <row r="5" hidden="1" outlineLevel="1" ht="13" customHeight="1">
      <c r="A5" s="4" t="inlineStr">
        <is>
          <t>Input tables</t>
        </is>
      </c>
      <c r="B5" s="5" t="inlineStr">
        <is>
          <t>None yet. Future: Google Ads's own API/export.</t>
        </is>
      </c>
    </row>
    <row r="6" hidden="1" outlineLevel="1" ht="13" customHeight="1">
      <c r="A6" s="4" t="inlineStr">
        <is>
          <t>Output tables</t>
        </is>
      </c>
      <c r="B6" s="5" t="inlineStr">
        <is>
          <t>Will feed FACT_MarketingSpend once connected.</t>
        </is>
      </c>
    </row>
    <row r="7" hidden="1" outlineLevel="1" ht="13" customHeight="1">
      <c r="A7" s="4" t="inlineStr">
        <is>
          <t>Relationships</t>
        </is>
      </c>
      <c r="B7" s="5" t="inlineStr">
        <is>
          <t>DateKey -&gt; DIM_Date; Campaign -&gt; a future DIM_Campaign (not yet built — see FACT_MarketingSpend's notes).</t>
        </is>
      </c>
    </row>
    <row r="8" hidden="1" outlineLevel="1" ht="13" customHeight="1">
      <c r="A8" s="4" t="inlineStr">
        <is>
          <t>Future data source</t>
        </is>
      </c>
      <c r="B8" s="5" t="inlineStr">
        <is>
          <t>Google Ads API — a future phase (6+), following the exact Power Query pattern power-query/README.md established for Shopify (auth via Extension.CurrentCredential, paginated fetch, incremental refresh).</t>
        </is>
      </c>
    </row>
    <row r="9" hidden="1" outlineLevel="1"/>
    <row r="10" ht="6" customHeight="1"/>
    <row r="11" ht="18" customHeight="1">
      <c r="B11" s="59" t="inlineStr">
        <is>
          <t>DateKey</t>
        </is>
      </c>
      <c r="C11" s="59" t="inlineStr">
        <is>
          <t>CampaignID</t>
        </is>
      </c>
      <c r="D11" s="59" t="inlineStr">
        <is>
          <t>CampaignName</t>
        </is>
      </c>
      <c r="E11" s="59" t="inlineStr">
        <is>
          <t>Spend</t>
        </is>
      </c>
      <c r="F11" s="59" t="inlineStr">
        <is>
          <t>Impressions</t>
        </is>
      </c>
      <c r="G11" s="59" t="inlineStr">
        <is>
          <t>Clicks</t>
        </is>
      </c>
      <c r="H11" s="59" t="inlineStr">
        <is>
          <t>Conversions</t>
        </is>
      </c>
      <c r="I11" s="59" t="inlineStr">
        <is>
          <t>Currency</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8.xml><?xml version="1.0" encoding="utf-8"?>
<worksheet xmlns="http://schemas.openxmlformats.org/spreadsheetml/2006/main">
  <sheetPr>
    <tabColor rgb="008064A2"/>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RAW_TikTokAds</t>
        </is>
      </c>
    </row>
    <row r="2" ht="16" customHeight="1">
      <c r="A2" s="17" t="inlineStr">
        <is>
          <t>PASSRESS MIS   |   Home ▸ RAW_TikTokAds</t>
        </is>
      </c>
    </row>
    <row r="3" ht="14" customHeight="1">
      <c r="A3" s="3" t="inlineStr">
        <is>
          <t>Sheet Documentation  (use the  +  outline control at left to expand)</t>
        </is>
      </c>
    </row>
    <row r="4" hidden="1" outlineLevel="1" ht="13" customHeight="1">
      <c r="A4" s="4" t="inlineStr">
        <is>
          <t>Purpose</t>
        </is>
      </c>
      <c r="B4" s="5" t="inlineStr">
        <is>
          <t>RESERVED, NOT CONNECTED — placeholder for future TikTok Ads API ingestion. No API calls, no credentials, no scheduled refresh exist for this yet.</t>
        </is>
      </c>
    </row>
    <row r="5" hidden="1" outlineLevel="1" ht="13" customHeight="1">
      <c r="A5" s="4" t="inlineStr">
        <is>
          <t>Input tables</t>
        </is>
      </c>
      <c r="B5" s="5" t="inlineStr">
        <is>
          <t>None yet. Future: TikTok Ads's own API/export.</t>
        </is>
      </c>
    </row>
    <row r="6" hidden="1" outlineLevel="1" ht="13" customHeight="1">
      <c r="A6" s="4" t="inlineStr">
        <is>
          <t>Output tables</t>
        </is>
      </c>
      <c r="B6" s="5" t="inlineStr">
        <is>
          <t>Will feed FACT_MarketingSpend once connected.</t>
        </is>
      </c>
    </row>
    <row r="7" hidden="1" outlineLevel="1" ht="13" customHeight="1">
      <c r="A7" s="4" t="inlineStr">
        <is>
          <t>Relationships</t>
        </is>
      </c>
      <c r="B7" s="5" t="inlineStr">
        <is>
          <t>DateKey -&gt; DIM_Date; Campaign -&gt; a future DIM_Campaign (not yet built — see FACT_MarketingSpend's notes).</t>
        </is>
      </c>
    </row>
    <row r="8" hidden="1" outlineLevel="1" ht="13" customHeight="1">
      <c r="A8" s="4" t="inlineStr">
        <is>
          <t>Future data source</t>
        </is>
      </c>
      <c r="B8" s="5" t="inlineStr">
        <is>
          <t>TikTok Ads API — a future phase (6+), following the exact Power Query pattern power-query/README.md established for Shopify (auth via Extension.CurrentCredential, paginated fetch, incremental refresh).</t>
        </is>
      </c>
    </row>
    <row r="9" hidden="1" outlineLevel="1"/>
    <row r="10" ht="6" customHeight="1"/>
    <row r="11" ht="18" customHeight="1">
      <c r="B11" s="59" t="inlineStr">
        <is>
          <t>DateKey</t>
        </is>
      </c>
      <c r="C11" s="59" t="inlineStr">
        <is>
          <t>CampaignID</t>
        </is>
      </c>
      <c r="D11" s="59" t="inlineStr">
        <is>
          <t>CampaignName</t>
        </is>
      </c>
      <c r="E11" s="59" t="inlineStr">
        <is>
          <t>Spend</t>
        </is>
      </c>
      <c r="F11" s="59" t="inlineStr">
        <is>
          <t>Impressions</t>
        </is>
      </c>
      <c r="G11" s="59" t="inlineStr">
        <is>
          <t>Clicks</t>
        </is>
      </c>
      <c r="H11" s="59" t="inlineStr">
        <is>
          <t>Conversions</t>
        </is>
      </c>
      <c r="I11" s="59" t="inlineStr">
        <is>
          <t>Currency</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49.xml><?xml version="1.0" encoding="utf-8"?>
<worksheet xmlns="http://schemas.openxmlformats.org/spreadsheetml/2006/main">
  <sheetPr>
    <tabColor rgb="008064A2"/>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RAW_EmailMarketing</t>
        </is>
      </c>
    </row>
    <row r="2" ht="16" customHeight="1">
      <c r="A2" s="17" t="inlineStr">
        <is>
          <t>PASSRESS MIS   |   Home ▸ RAW_EmailMarketing</t>
        </is>
      </c>
    </row>
    <row r="3" ht="14" customHeight="1">
      <c r="A3" s="3" t="inlineStr">
        <is>
          <t>Sheet Documentation  (use the  +  outline control at left to expand)</t>
        </is>
      </c>
    </row>
    <row r="4" hidden="1" outlineLevel="1" ht="13" customHeight="1">
      <c r="A4" s="4" t="inlineStr">
        <is>
          <t>Purpose</t>
        </is>
      </c>
      <c r="B4" s="5" t="inlineStr">
        <is>
          <t>RESERVED, NOT CONNECTED — placeholder for future Email Marketing (e.g. Klaviyo/Mailchimp) API ingestion. No API calls, no credentials, no scheduled refresh exist for this yet.</t>
        </is>
      </c>
    </row>
    <row r="5" hidden="1" outlineLevel="1" ht="13" customHeight="1">
      <c r="A5" s="4" t="inlineStr">
        <is>
          <t>Input tables</t>
        </is>
      </c>
      <c r="B5" s="5" t="inlineStr">
        <is>
          <t>None yet. Future: Email Marketing (e.g. Klaviyo/Mailchimp)'s own API/export.</t>
        </is>
      </c>
    </row>
    <row r="6" hidden="1" outlineLevel="1" ht="13" customHeight="1">
      <c r="A6" s="4" t="inlineStr">
        <is>
          <t>Output tables</t>
        </is>
      </c>
      <c r="B6" s="5" t="inlineStr">
        <is>
          <t>Will feed FACT_MarketingSpend once connected.</t>
        </is>
      </c>
    </row>
    <row r="7" hidden="1" outlineLevel="1" ht="13" customHeight="1">
      <c r="A7" s="4" t="inlineStr">
        <is>
          <t>Relationships</t>
        </is>
      </c>
      <c r="B7" s="5" t="inlineStr">
        <is>
          <t>DateKey -&gt; DIM_Date; Campaign -&gt; a future DIM_Campaign (not yet built — see FACT_MarketingSpend's notes).</t>
        </is>
      </c>
    </row>
    <row r="8" hidden="1" outlineLevel="1" ht="13" customHeight="1">
      <c r="A8" s="4" t="inlineStr">
        <is>
          <t>Future data source</t>
        </is>
      </c>
      <c r="B8" s="5" t="inlineStr">
        <is>
          <t>Email Marketing (e.g. Klaviyo/Mailchimp) API — a future phase (6+), following the exact Power Query pattern power-query/README.md established for Shopify (auth via Extension.CurrentCredential, paginated fetch, incremental refresh).</t>
        </is>
      </c>
    </row>
    <row r="9" hidden="1" outlineLevel="1"/>
    <row r="10" ht="6" customHeight="1"/>
    <row r="11" ht="18" customHeight="1">
      <c r="B11" s="59" t="inlineStr">
        <is>
          <t>DateKey</t>
        </is>
      </c>
      <c r="C11" s="59" t="inlineStr">
        <is>
          <t>CampaignID</t>
        </is>
      </c>
      <c r="D11" s="59" t="inlineStr">
        <is>
          <t>CampaignName</t>
        </is>
      </c>
      <c r="E11" s="59" t="inlineStr">
        <is>
          <t>Spend</t>
        </is>
      </c>
      <c r="F11" s="59" t="inlineStr">
        <is>
          <t>Impressions</t>
        </is>
      </c>
      <c r="G11" s="59" t="inlineStr">
        <is>
          <t>Clicks</t>
        </is>
      </c>
      <c r="H11" s="59" t="inlineStr">
        <is>
          <t>Conversions</t>
        </is>
      </c>
      <c r="I11" s="59" t="inlineStr">
        <is>
          <t>Currency</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0.xml><?xml version="1.0" encoding="utf-8"?>
<worksheet xmlns="http://schemas.openxmlformats.org/spreadsheetml/2006/main">
  <sheetPr>
    <tabColor rgb="008064A2"/>
    <outlinePr applyStyles="1" summaryBelow="0" summaryRight="1"/>
    <pageSetUpPr/>
  </sheetPr>
  <dimension ref="A1:I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4" customHeight="1">
      <c r="A1" s="1" t="inlineStr">
        <is>
          <t>RAW_InfluencerCampaigns</t>
        </is>
      </c>
    </row>
    <row r="2" ht="16" customHeight="1">
      <c r="A2" s="17" t="inlineStr">
        <is>
          <t>PASSRESS MIS   |   Home ▸ RAW_InfluencerCampaigns</t>
        </is>
      </c>
    </row>
    <row r="3" ht="14" customHeight="1">
      <c r="A3" s="3" t="inlineStr">
        <is>
          <t>Sheet Documentation  (use the  +  outline control at left to expand)</t>
        </is>
      </c>
    </row>
    <row r="4" hidden="1" outlineLevel="1" ht="13" customHeight="1">
      <c r="A4" s="4" t="inlineStr">
        <is>
          <t>Purpose</t>
        </is>
      </c>
      <c r="B4" s="5" t="inlineStr">
        <is>
          <t>RESERVED, NOT CONNECTED — placeholder for future Influencer Campaigns API ingestion. No API calls, no credentials, no scheduled refresh exist for this yet.</t>
        </is>
      </c>
    </row>
    <row r="5" hidden="1" outlineLevel="1" ht="13" customHeight="1">
      <c r="A5" s="4" t="inlineStr">
        <is>
          <t>Input tables</t>
        </is>
      </c>
      <c r="B5" s="5" t="inlineStr">
        <is>
          <t>None yet. Future: Influencer Campaigns's own API/export.</t>
        </is>
      </c>
    </row>
    <row r="6" hidden="1" outlineLevel="1" ht="13" customHeight="1">
      <c r="A6" s="4" t="inlineStr">
        <is>
          <t>Output tables</t>
        </is>
      </c>
      <c r="B6" s="5" t="inlineStr">
        <is>
          <t>Will feed FACT_MarketingSpend once connected.</t>
        </is>
      </c>
    </row>
    <row r="7" hidden="1" outlineLevel="1" ht="13" customHeight="1">
      <c r="A7" s="4" t="inlineStr">
        <is>
          <t>Relationships</t>
        </is>
      </c>
      <c r="B7" s="5" t="inlineStr">
        <is>
          <t>DateKey -&gt; DIM_Date; Campaign -&gt; a future DIM_Campaign (not yet built — see FACT_MarketingSpend's notes).</t>
        </is>
      </c>
    </row>
    <row r="8" hidden="1" outlineLevel="1" ht="13" customHeight="1">
      <c r="A8" s="4" t="inlineStr">
        <is>
          <t>Future data source</t>
        </is>
      </c>
      <c r="B8" s="5" t="inlineStr">
        <is>
          <t>Influencer Campaigns API — a future phase (6+), following the exact Power Query pattern power-query/README.md established for Shopify (auth via Extension.CurrentCredential, paginated fetch, incremental refresh).</t>
        </is>
      </c>
    </row>
    <row r="9" hidden="1" outlineLevel="1"/>
    <row r="10" ht="6" customHeight="1"/>
    <row r="11" ht="18" customHeight="1">
      <c r="B11" s="59" t="inlineStr">
        <is>
          <t>DateKey</t>
        </is>
      </c>
      <c r="C11" s="59" t="inlineStr">
        <is>
          <t>CampaignID</t>
        </is>
      </c>
      <c r="D11" s="59" t="inlineStr">
        <is>
          <t>CampaignName</t>
        </is>
      </c>
      <c r="E11" s="59" t="inlineStr">
        <is>
          <t>Spend</t>
        </is>
      </c>
      <c r="F11" s="59" t="inlineStr">
        <is>
          <t>Impressions</t>
        </is>
      </c>
      <c r="G11" s="59" t="inlineStr">
        <is>
          <t>Clicks</t>
        </is>
      </c>
      <c r="H11" s="59" t="inlineStr">
        <is>
          <t>Conversions</t>
        </is>
      </c>
      <c r="I11" s="59" t="inlineStr">
        <is>
          <t>Currency</t>
        </is>
      </c>
    </row>
    <row r="12">
      <c r="B12" s="60" t="n"/>
      <c r="C12" s="60" t="n"/>
      <c r="D12" s="60" t="n"/>
      <c r="E12" s="60" t="n"/>
      <c r="F12" s="60" t="n"/>
      <c r="G12" s="60" t="n"/>
      <c r="H12" s="60" t="n"/>
      <c r="I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2:I2"/>
    <mergeCell ref="B7:I7"/>
    <mergeCell ref="B6:I6"/>
    <mergeCell ref="A1:I1"/>
    <mergeCell ref="B5:I5"/>
    <mergeCell ref="A3:I3"/>
    <mergeCell ref="B8:I8"/>
    <mergeCell ref="B4:I4"/>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1.xml><?xml version="1.0" encoding="utf-8"?>
<worksheet xmlns="http://schemas.openxmlformats.org/spreadsheetml/2006/main">
  <sheetPr>
    <tabColor rgb="008064A2"/>
    <outlinePr applyStyles="1" summaryBelow="0" summaryRight="1"/>
    <pageSetUpPr/>
  </sheetPr>
  <dimension ref="A1:H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4" customHeight="1">
      <c r="A1" s="1" t="inlineStr">
        <is>
          <t>FACT_MarketingSpend</t>
        </is>
      </c>
    </row>
    <row r="2" ht="16" customHeight="1">
      <c r="A2" s="17" t="inlineStr">
        <is>
          <t>PASSRESS MIS   |   Home ▸ FACT_MarketingSpend</t>
        </is>
      </c>
    </row>
    <row r="3" ht="14" customHeight="1">
      <c r="A3" s="3" t="inlineStr">
        <is>
          <t>Sheet Documentation  (use the  +  outline control at left to expand)</t>
        </is>
      </c>
    </row>
    <row r="4" hidden="1" outlineLevel="1" ht="13" customHeight="1">
      <c r="A4" s="4" t="inlineStr">
        <is>
          <t>Purpose</t>
        </is>
      </c>
      <c r="B4" s="5" t="inlineStr">
        <is>
          <t>RESERVED, NOT CONNECTED — the unified cross-channel spend fact every RAW_&lt;Channel&gt;Ads table above would roll into, so DAX (CAC, ROAS) can query one table instead of six. Channel-specific fields (e.g. TikTok's video view counts) stay on each RAW_ table; only the common shape (spend, date, campaign, conversions) is unified here.</t>
        </is>
      </c>
    </row>
    <row r="5" hidden="1" outlineLevel="1" ht="13" customHeight="1">
      <c r="A5" s="4" t="inlineStr">
        <is>
          <t>Input tables</t>
        </is>
      </c>
      <c r="B5" s="5" t="inlineStr">
        <is>
          <t>Will be built from every RAW_MetaAds/RAW_GoogleAds/RAW_TikTokAds/etc. table above, once connected.</t>
        </is>
      </c>
    </row>
    <row r="6" hidden="1" outlineLevel="1" ht="13" customHeight="1">
      <c r="A6" s="4" t="inlineStr">
        <is>
          <t>Output tables</t>
        </is>
      </c>
      <c r="B6" s="5" t="inlineStr">
        <is>
          <t>dax/MEASURES.md's [CAC] and [ROAS] (currently unbuildable — see KPI Targets' notes on those two rows) will read from here.</t>
        </is>
      </c>
    </row>
    <row r="7" hidden="1" outlineLevel="1" ht="13" customHeight="1">
      <c r="A7" s="4" t="inlineStr">
        <is>
          <t>Relationships</t>
        </is>
      </c>
      <c r="B7" s="5" t="inlineStr">
        <is>
          <t>DateKey -&gt; DIM_Date; ChannelName is a plain attribute (not worth its own dimension at this scale); CampaignID -&gt; a future DIM_Campaign.</t>
        </is>
      </c>
    </row>
    <row r="8" hidden="1" outlineLevel="1" ht="13" customHeight="1">
      <c r="A8" s="4" t="inlineStr">
        <is>
          <t>Future data source</t>
        </is>
      </c>
      <c r="B8" s="5" t="inlineStr">
        <is>
          <t>Union of the RAW_&lt;Channel&gt;Ads tables above, in Power Query — a future phase (6+).</t>
        </is>
      </c>
    </row>
    <row r="9" hidden="1" outlineLevel="1"/>
    <row r="10" ht="6" customHeight="1"/>
    <row r="11" ht="18" customHeight="1">
      <c r="B11" s="59" t="inlineStr">
        <is>
          <t>DateKey</t>
        </is>
      </c>
      <c r="C11" s="59" t="inlineStr">
        <is>
          <t>ChannelName</t>
        </is>
      </c>
      <c r="D11" s="59" t="inlineStr">
        <is>
          <t>CampaignID</t>
        </is>
      </c>
      <c r="E11" s="59" t="inlineStr">
        <is>
          <t>CampaignName</t>
        </is>
      </c>
      <c r="F11" s="59" t="inlineStr">
        <is>
          <t>Spend</t>
        </is>
      </c>
      <c r="G11" s="59" t="inlineStr">
        <is>
          <t>Conversions</t>
        </is>
      </c>
      <c r="H11" s="59" t="inlineStr">
        <is>
          <t>Currency</t>
        </is>
      </c>
    </row>
    <row r="12">
      <c r="B12" s="60" t="n"/>
      <c r="C12" s="60" t="n"/>
      <c r="D12" s="60" t="n"/>
      <c r="E12" s="60" t="n"/>
      <c r="F12" s="60" t="n"/>
      <c r="G12" s="60" t="n"/>
      <c r="H12" s="60" t="n"/>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H8"/>
    <mergeCell ref="A3:H3"/>
    <mergeCell ref="B4:H4"/>
    <mergeCell ref="A2:H2"/>
    <mergeCell ref="B6:H6"/>
    <mergeCell ref="B7:H7"/>
    <mergeCell ref="A1:H1"/>
    <mergeCell ref="B5:H5"/>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2.xml><?xml version="1.0" encoding="utf-8"?>
<worksheet xmlns="http://schemas.openxmlformats.org/spreadsheetml/2006/main">
  <sheetPr>
    <tabColor rgb="00BFBFBF"/>
    <outlinePr applyStyles="1" summaryBelow="0" summaryRight="1"/>
    <pageSetUpPr/>
  </sheetPr>
  <dimension ref="A1:E1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s>
  <sheetData>
    <row r="1" ht="34" customHeight="1">
      <c r="A1" s="1" t="inlineStr">
        <is>
          <t>FUTURE_AI_Insights</t>
        </is>
      </c>
    </row>
    <row r="2" ht="16" customHeight="1">
      <c r="A2" s="17" t="inlineStr">
        <is>
          <t>PASSRESS MIS   |   Home ▸ FUTURE_AI_Insights</t>
        </is>
      </c>
    </row>
    <row r="3" ht="14" customHeight="1">
      <c r="A3" s="3" t="inlineStr">
        <is>
          <t>Sheet Documentation  (use the  +  outline control at left to expand)</t>
        </is>
      </c>
    </row>
    <row r="4" hidden="1" outlineLevel="1" ht="13" customHeight="1">
      <c r="A4" s="4" t="inlineStr">
        <is>
          <t>Purpose</t>
        </is>
      </c>
      <c r="B4" s="5" t="inlineStr">
        <is>
          <t>RESERVED, NOT IMPLEMENTED — placeholder inventory of AI-generated features a future phase could add (Executive Summary, Daily/Weekly/Monthly Summary, Recommendations, Anomaly Detection, Natural Language Q&amp;A). No AI model is called anywhere in this workbook today.</t>
        </is>
      </c>
    </row>
    <row r="5" hidden="1" outlineLevel="1" ht="13" customHeight="1">
      <c r="A5" s="4" t="inlineStr">
        <is>
          <t>Input tables</t>
        </is>
      </c>
      <c r="B5" s="5" t="inlineStr">
        <is>
          <t>None yet. Future: the Data Model (dax/MEASURES.md) + BI_Insights/BI_Alerts (Phase 5's own rule-based versions of Summary/Anomaly-Detection, which an AI layer would eventually supersede or enrich, not duplicate).</t>
        </is>
      </c>
    </row>
    <row r="6" hidden="1" outlineLevel="1" ht="13" customHeight="1">
      <c r="A6" s="4" t="inlineStr">
        <is>
          <t>Output tables</t>
        </is>
      </c>
      <c r="B6" s="5" t="inlineStr">
        <is>
          <t>None yet.</t>
        </is>
      </c>
    </row>
    <row r="7" hidden="1" outlineLevel="1" ht="13" customHeight="1">
      <c r="A7" s="4" t="inlineStr">
        <is>
          <t>Relationships</t>
        </is>
      </c>
      <c r="B7" s="5" t="inlineStr">
        <is>
          <t>None yet.</t>
        </is>
      </c>
    </row>
    <row r="8" hidden="1" outlineLevel="1" ht="13" customHeight="1">
      <c r="A8" s="4" t="inlineStr">
        <is>
          <t>Future data source</t>
        </is>
      </c>
      <c r="B8" s="5" t="inlineStr">
        <is>
          <t>A future phase's AI integration (e.g. an LLM API call summarizing the Data Model's current state) — not scoped or estimated here.</t>
        </is>
      </c>
    </row>
    <row r="9" hidden="1" outlineLevel="1"/>
    <row r="10" ht="6" customHeight="1"/>
    <row r="11" ht="18" customHeight="1">
      <c r="B11" s="50" t="inlineStr">
        <is>
          <t>FeatureName</t>
        </is>
      </c>
      <c r="C11" s="50" t="inlineStr">
        <is>
          <t>Status</t>
        </is>
      </c>
      <c r="D11" s="50" t="inlineStr">
        <is>
          <t>Description</t>
        </is>
      </c>
      <c r="E11" s="50" t="inlineStr">
        <is>
          <t>WouldReplaceOrEnrich</t>
        </is>
      </c>
    </row>
    <row r="12">
      <c r="B12" s="61" t="inlineStr">
        <is>
          <t>Executive Summary</t>
        </is>
      </c>
      <c r="C12" s="61" t="inlineStr">
        <is>
          <t>Not Implemented</t>
        </is>
      </c>
      <c r="D12" s="61" t="inlineStr">
        <is>
          <t>One-paragraph AI-written summary of the period's performance</t>
        </is>
      </c>
      <c r="E12" s="61" t="inlineStr">
        <is>
          <t>Enriches BI_Insights (adds narrative synthesis on top of the rule-based bullet points)</t>
        </is>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E8"/>
    <mergeCell ref="B4:E4"/>
    <mergeCell ref="A2:E2"/>
    <mergeCell ref="B6:E6"/>
    <mergeCell ref="B7:E7"/>
    <mergeCell ref="A1:E1"/>
    <mergeCell ref="B5:E5"/>
    <mergeCell ref="A3:E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3.xml><?xml version="1.0" encoding="utf-8"?>
<worksheet xmlns="http://schemas.openxmlformats.org/spreadsheetml/2006/main">
  <sheetPr>
    <tabColor rgb="0031859B"/>
    <outlinePr applyStyles="1" summaryBelow="0" summaryRight="1"/>
    <pageSetUpPr/>
  </sheetPr>
  <dimension ref="A1:H22"/>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s>
  <sheetData>
    <row r="1" ht="34" customHeight="1">
      <c r="A1" s="1" t="inlineStr">
        <is>
          <t>BI_Insights</t>
        </is>
      </c>
    </row>
    <row r="2" ht="16" customHeight="1">
      <c r="A2" s="17" t="inlineStr">
        <is>
          <t>PASSRESS MIS   |   Home ▸ BI_Insights</t>
        </is>
      </c>
    </row>
    <row r="3" ht="14" customHeight="1">
      <c r="A3" s="3" t="inlineStr">
        <is>
          <t>Sheet Documentation  (use the  +  outline control at left to expand)</t>
        </is>
      </c>
    </row>
    <row r="4" hidden="1" outlineLevel="1" ht="13" customHeight="1">
      <c r="A4" s="4" t="inlineStr">
        <is>
          <t>Purpose</t>
        </is>
      </c>
      <c r="B4" s="5" t="inlineStr">
        <is>
          <t>Auto-generated business insights, one row per insight, built from CUBEVALUE formulas reading dax/MEASURES.md's measures directly (no PivotTable needed). Recalculates on every workbook open/refresh — nothing here is typed by hand.</t>
        </is>
      </c>
    </row>
    <row r="5" hidden="1" outlineLevel="1" ht="13" customHeight="1">
      <c r="A5" s="4" t="inlineStr">
        <is>
          <t>Input tables</t>
        </is>
      </c>
      <c r="B5" s="5" t="inlineStr">
        <is>
          <t>The Data Model (dax/MEASURES.md) via CUBEVALUE/CUBESET/CUBERANKEDMEMBER.</t>
        </is>
      </c>
    </row>
    <row r="6" hidden="1" outlineLevel="1" ht="13" customHeight="1">
      <c r="A6" s="4" t="inlineStr">
        <is>
          <t>Output tables</t>
        </is>
      </c>
      <c r="B6" s="5" t="inlineStr">
        <is>
          <t>02_Partner_Dashboard and 03_CEO_Dashboard both surface a subset of these rows under 'Key Insights'.</t>
        </is>
      </c>
    </row>
    <row r="7" hidden="1" outlineLevel="1" ht="13" customHeight="1">
      <c r="A7" s="4" t="inlineStr">
        <is>
          <t>Relationships</t>
        </is>
      </c>
      <c r="B7" s="5" t="inlineStr">
        <is>
          <t>No Data Model relationship — reads the model via CUBE functions, same mechanism the dashboards themselves use.</t>
        </is>
      </c>
    </row>
    <row r="8" hidden="1" outlineLevel="1" ht="13" customHeight="1">
      <c r="A8" s="4" t="inlineStr">
        <is>
          <t>Future data source</t>
        </is>
      </c>
      <c r="B8" s="5" t="inlineStr">
        <is>
          <t>Already live: resolves for real once the Data Model + measures are wired per dax/README.md. Until then shows blank/0 — expected, not an error.</t>
        </is>
      </c>
    </row>
    <row r="9" hidden="1" outlineLevel="1"/>
    <row r="10" ht="6" customHeight="1"/>
    <row r="11" ht="18" customHeight="1">
      <c r="B11" s="50" t="inlineStr">
        <is>
          <t>InsightID</t>
        </is>
      </c>
      <c r="C11" s="50" t="inlineStr">
        <is>
          <t>Category</t>
        </is>
      </c>
      <c r="D11" s="50" t="inlineStr">
        <is>
          <t>InsightText</t>
        </is>
      </c>
      <c r="E11" s="50" t="inlineStr">
        <is>
          <t>Severity</t>
        </is>
      </c>
    </row>
    <row r="12">
      <c r="B12" s="30" t="n"/>
      <c r="C12" s="30" t="n"/>
      <c r="D12" s="30" t="n"/>
      <c r="E12" s="30" t="n"/>
    </row>
    <row r="14">
      <c r="B14" s="37" t="inlineStr">
        <is>
          <t>INSIGHT FORMULAS  (CUBEVALUE-driven — see dax/PHASE5_MEASURES_ADDENDUM.md for the exact measures each one reads)</t>
        </is>
      </c>
    </row>
    <row r="15">
      <c r="B15" s="24" t="inlineStr">
        <is>
          <t>INS-01</t>
        </is>
      </c>
      <c r="C15" s="24" t="inlineStr">
        <is>
          <t>Sales</t>
        </is>
      </c>
      <c r="D15" s="62">
        <f>"Net Sales "&amp;TEXT(ABS(CUBEVALUE("ThisWorkbookDataModel","[Measures].[Revenue Growth % (YoY)]")),"0.0%")&amp;IF(CUBEVALUE("ThisWorkbookDataModel","[Measures].[Revenue Growth % (YoY)]")&gt;=0," higher"," lower")&amp;" than the same period last year."</f>
        <v/>
      </c>
      <c r="E15" s="24" t="inlineStr">
        <is>
          <t>Info</t>
        </is>
      </c>
    </row>
    <row r="16">
      <c r="B16" s="24" t="inlineStr">
        <is>
          <t>INS-02</t>
        </is>
      </c>
      <c r="C16" s="24" t="inlineStr">
        <is>
          <t>Margin</t>
        </is>
      </c>
      <c r="D16" s="62">
        <f>"Gross Margin is "&amp;TEXT(CUBEVALUE("ThisWorkbookDataModel","[Measures].[Gross Margin %]"),"0.0%")&amp;", vs. a target of "&amp;TEXT(CUBEVALUE("ThisWorkbookDataModel","[Measures].[Margin Target]"),"0.0%")&amp;"."</f>
        <v/>
      </c>
      <c r="E16" s="24" t="inlineStr">
        <is>
          <t>Info</t>
        </is>
      </c>
    </row>
    <row r="17">
      <c r="B17" s="24" t="inlineStr">
        <is>
          <t>INS-03</t>
        </is>
      </c>
      <c r="C17" s="24" t="inlineStr">
        <is>
          <t>Customers</t>
        </is>
      </c>
      <c r="D17" s="62">
        <f>"Customer Retention (month-over-month) is "&amp;TEXT(CUBEVALUE("ThisWorkbookDataModel","[Measures].[Customer Retention Rate (MoM)]"),"0.0%")&amp;"."</f>
        <v/>
      </c>
      <c r="E17" s="24" t="inlineStr">
        <is>
          <t>Info</t>
        </is>
      </c>
    </row>
    <row r="18">
      <c r="B18" s="24" t="inlineStr">
        <is>
          <t>INS-04</t>
        </is>
      </c>
      <c r="C18" s="24" t="inlineStr">
        <is>
          <t>Inventory</t>
        </is>
      </c>
      <c r="D18" s="62">
        <f>IF(CUBEVALUE("ThisWorkbookDataModel","[Measures].[Inventory Turnover]")&lt;CUBEVALUE("ThisWorkbookDataModel","[Measures].[Inventory Turnover Target]"),"Inventory turnover is below target — stock may be moving slower than planned.","Inventory turnover is at or above target.")</f>
        <v/>
      </c>
      <c r="E18" s="24" t="inlineStr">
        <is>
          <t>Info</t>
        </is>
      </c>
    </row>
    <row r="19">
      <c r="B19" s="24" t="inlineStr">
        <is>
          <t>INS-05</t>
        </is>
      </c>
      <c r="C19" s="24" t="inlineStr">
        <is>
          <t>Cash</t>
        </is>
      </c>
      <c r="D19" s="62">
        <f>IF(CUBEVALUE("ThisWorkbookDataModel","[Measures].[Cash Position (Direct, Cumulative)]")&gt;0,"Cash position is healthy (positive).","Cash position is negative — review Reconciliation: Cash Variance before acting on this.")</f>
        <v/>
      </c>
      <c r="E19" s="24" t="inlineStr">
        <is>
          <t>Info</t>
        </is>
      </c>
    </row>
    <row r="20">
      <c r="B20" s="24" t="inlineStr">
        <is>
          <t>INS-06</t>
        </is>
      </c>
      <c r="C20" s="24" t="inlineStr">
        <is>
          <t>Products</t>
        </is>
      </c>
      <c r="D20" s="62">
        <f>"Best seller: "&amp;CUBERANKEDMEMBER("ThisWorkbookDataModel",$H$20,1)&amp;"."</f>
        <v/>
      </c>
      <c r="E20" s="24" t="inlineStr">
        <is>
          <t>Info</t>
        </is>
      </c>
      <c r="H20" s="23">
        <f>CUBESET("ThisWorkbookDataModel","{[DIM_Product].[Title].Children}","BestSeller","BDESC","[Measures].[Net Sales]")</f>
        <v/>
      </c>
    </row>
    <row r="21">
      <c r="B21" s="24" t="inlineStr">
        <is>
          <t>INS-07</t>
        </is>
      </c>
      <c r="C21" s="24" t="inlineStr">
        <is>
          <t>Products</t>
        </is>
      </c>
      <c r="D21" s="62">
        <f>"Weakest seller (with any sales): "&amp;CUBERANKEDMEMBER("ThisWorkbookDataModel",$H$21,1)&amp;" — see 05_Products for the full ranked list rather than relying on one row here."</f>
        <v/>
      </c>
      <c r="E21" s="24" t="inlineStr">
        <is>
          <t>Info</t>
        </is>
      </c>
      <c r="H21" s="23">
        <f>CUBESET("ThisWorkbookDataModel","{[DIM_Product].[Title].Children}","WeakestSeller","BASC","[Measures].[Net Sales]")</f>
        <v/>
      </c>
    </row>
    <row r="22">
      <c r="B22" s="24" t="inlineStr">
        <is>
          <t>INS-08</t>
        </is>
      </c>
      <c r="C22" s="24" t="inlineStr">
        <is>
          <t>Orders</t>
        </is>
      </c>
      <c r="D22" s="62">
        <f>"Average Order Value is "&amp;TEXT(CUBEVALUE("ThisWorkbookDataModel","[Measures].[Average Order Value]"),"#,##0")&amp;" EGP, vs. a target of "&amp;TEXT(CUBEVALUE("ThisWorkbookDataModel","[Measures].[AOV Target]"),"#,##0")&amp;" EGP."</f>
        <v/>
      </c>
      <c r="E22" s="24" t="inlineStr">
        <is>
          <t>Info</t>
        </is>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E8"/>
    <mergeCell ref="B4:E4"/>
    <mergeCell ref="A2:E2"/>
    <mergeCell ref="B6:E6"/>
    <mergeCell ref="B7:E7"/>
    <mergeCell ref="A1:E1"/>
    <mergeCell ref="B5:E5"/>
    <mergeCell ref="A3:E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4.xml><?xml version="1.0" encoding="utf-8"?>
<worksheet xmlns="http://schemas.openxmlformats.org/spreadsheetml/2006/main">
  <sheetPr>
    <tabColor rgb="0031859B"/>
    <outlinePr applyStyles="1" summaryBelow="0" summaryRight="1"/>
    <pageSetUpPr/>
  </sheetPr>
  <dimension ref="A1:F26"/>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s>
  <sheetData>
    <row r="1" ht="34" customHeight="1">
      <c r="A1" s="1" t="inlineStr">
        <is>
          <t>BI_Alerts</t>
        </is>
      </c>
    </row>
    <row r="2" ht="16" customHeight="1">
      <c r="A2" s="17" t="inlineStr">
        <is>
          <t>PASSRESS MIS   |   Home ▸ BI_Alerts</t>
        </is>
      </c>
    </row>
    <row r="3" ht="14" customHeight="1">
      <c r="A3" s="3" t="inlineStr">
        <is>
          <t>Sheet Documentation  (use the  +  outline control at left to expand)</t>
        </is>
      </c>
    </row>
    <row r="4" hidden="1" outlineLevel="1" ht="13" customHeight="1">
      <c r="A4" s="4" t="inlineStr">
        <is>
          <t>Purpose</t>
        </is>
      </c>
      <c r="B4" s="5" t="inlineStr">
        <is>
          <t>Auto-generated operational alerts, one row per alert type, built from CUBEVALUE formulas plus a few direct structural checks already computed elsewhere (Product Cost Master's Overlap Warning, Manual Expenses' Possible Duplicate) rather than re-deriving them — reuses, doesn't duplicate, Phase 2-4's own data-quality logic.</t>
        </is>
      </c>
    </row>
    <row r="5" hidden="1" outlineLevel="1" ht="13" customHeight="1">
      <c r="A5" s="4" t="inlineStr">
        <is>
          <t>Input tables</t>
        </is>
      </c>
      <c r="B5" s="5" t="inlineStr">
        <is>
          <t>The Data Model (dax/MEASURES.md) via CUBEVALUE; LOG_DataQuality; tbl_ProductCostMaster/tbl_ManualExpenses' existing flag columns.</t>
        </is>
      </c>
    </row>
    <row r="6" hidden="1" outlineLevel="1" ht="13" customHeight="1">
      <c r="A6" s="4" t="inlineStr">
        <is>
          <t>Output tables</t>
        </is>
      </c>
      <c r="B6" s="5" t="inlineStr">
        <is>
          <t>14_Data_Quality and 03_CEO_Dashboard both surface these under 'Alerts'.</t>
        </is>
      </c>
    </row>
    <row r="7" hidden="1" outlineLevel="1" ht="13" customHeight="1">
      <c r="A7" s="4" t="inlineStr">
        <is>
          <t>Relationships</t>
        </is>
      </c>
      <c r="B7" s="5" t="inlineStr">
        <is>
          <t>No Data Model relationship — reads via CUBE functions and direct cell/table references.</t>
        </is>
      </c>
    </row>
    <row r="8" hidden="1" outlineLevel="1" ht="13" customHeight="1">
      <c r="A8" s="4" t="inlineStr">
        <is>
          <t>Future data source</t>
        </is>
      </c>
      <c r="B8" s="5" t="inlineStr">
        <is>
          <t>Already live: resolves for real once the Data Model + measures are wired per dax/README.md.</t>
        </is>
      </c>
    </row>
    <row r="9" hidden="1" outlineLevel="1"/>
    <row r="10" ht="6" customHeight="1"/>
    <row r="11" ht="18" customHeight="1">
      <c r="B11" s="50" t="inlineStr">
        <is>
          <t>AlertID</t>
        </is>
      </c>
      <c r="C11" s="50" t="inlineStr">
        <is>
          <t>AlertName</t>
        </is>
      </c>
      <c r="D11" s="50" t="inlineStr">
        <is>
          <t>Condition</t>
        </is>
      </c>
      <c r="E11" s="50" t="inlineStr">
        <is>
          <t>Status</t>
        </is>
      </c>
      <c r="F11" s="50" t="inlineStr">
        <is>
          <t>Severity</t>
        </is>
      </c>
    </row>
    <row r="12">
      <c r="B12" s="30" t="n"/>
      <c r="C12" s="30" t="n"/>
      <c r="D12" s="30" t="n"/>
      <c r="E12" s="30" t="n"/>
      <c r="F12" s="30" t="n"/>
    </row>
    <row r="14">
      <c r="B14" s="37" t="inlineStr">
        <is>
          <t>ALERT FORMULAS</t>
        </is>
      </c>
    </row>
    <row r="15">
      <c r="B15" s="24" t="inlineStr">
        <is>
          <t>ALT-01</t>
        </is>
      </c>
      <c r="C15" s="24" t="inlineStr">
        <is>
          <t>Low Inventory</t>
        </is>
      </c>
      <c r="D15" s="20" t="inlineStr">
        <is>
          <t>Inventory Value below target</t>
        </is>
      </c>
      <c r="E15" s="24">
        <f>IF(CUBEVALUE("ThisWorkbookDataModel","[Measures].[Inventory Value]")&lt;CUBEVALUE("ThisWorkbookDataModel","[Measures].[Inventory Target]")*0.5,"TRIGGERED","OK")</f>
        <v/>
      </c>
      <c r="F15" s="24" t="inlineStr">
        <is>
          <t>Warning</t>
        </is>
      </c>
    </row>
    <row r="16">
      <c r="B16" s="24" t="inlineStr">
        <is>
          <t>ALT-02</t>
        </is>
      </c>
      <c r="C16" s="24" t="inlineStr">
        <is>
          <t>Negative Margin</t>
        </is>
      </c>
      <c r="D16" s="20" t="inlineStr">
        <is>
          <t>Gross Margin % below 0</t>
        </is>
      </c>
      <c r="E16" s="24">
        <f>IF(CUBEVALUE("ThisWorkbookDataModel","[Measures].[Gross Margin %]")&lt;0,"TRIGGERED","OK")</f>
        <v/>
      </c>
      <c r="F16" s="24" t="inlineStr">
        <is>
          <t>Critical</t>
        </is>
      </c>
    </row>
    <row r="17">
      <c r="B17" s="24" t="inlineStr">
        <is>
          <t>ALT-03</t>
        </is>
      </c>
      <c r="C17" s="24" t="inlineStr">
        <is>
          <t>Products without Cost</t>
        </is>
      </c>
      <c r="D17" s="20" t="inlineStr">
        <is>
          <t>Order lines with no matching Product Cost Master row</t>
        </is>
      </c>
      <c r="E17" s="24">
        <f>IF(CUBEVALUE("ThisWorkbookDataModel","[Measures].[Lines Missing Cost]")&gt;0,"TRIGGERED ("&amp;CUBEVALUE("ThisWorkbookDataModel","[Measures].[Lines Missing Cost]")&amp;" lines)","OK")</f>
        <v/>
      </c>
      <c r="F17" s="24" t="inlineStr">
        <is>
          <t>Warning</t>
        </is>
      </c>
    </row>
    <row r="18">
      <c r="B18" s="24" t="inlineStr">
        <is>
          <t>ALT-04</t>
        </is>
      </c>
      <c r="C18" s="24" t="inlineStr">
        <is>
          <t>Products without SKU</t>
        </is>
      </c>
      <c r="D18" s="20" t="inlineStr">
        <is>
          <t>RAW_Variants rows with a blank SKU</t>
        </is>
      </c>
      <c r="E18" s="24">
        <f>IF(COUNTIFS(tbl_RAW_Variants[SKU],"")&gt;0,"TRIGGERED","OK")</f>
        <v/>
      </c>
      <c r="F18" s="24" t="inlineStr">
        <is>
          <t>Warning</t>
        </is>
      </c>
    </row>
    <row r="19">
      <c r="B19" s="24" t="inlineStr">
        <is>
          <t>ALT-05</t>
        </is>
      </c>
      <c r="C19" s="24" t="inlineStr">
        <is>
          <t>Expenses without Category</t>
        </is>
      </c>
      <c r="D19" s="20" t="inlineStr">
        <is>
          <t>Manual Expenses rows with a blank Expense Category</t>
        </is>
      </c>
      <c r="E19" s="24">
        <f>IF(COUNTIFS(tbl_ManualExpenses[Expense Category],"")&gt;0,"TRIGGERED","OK")</f>
        <v/>
      </c>
      <c r="F19" s="24" t="inlineStr">
        <is>
          <t>Warning</t>
        </is>
      </c>
    </row>
    <row r="20">
      <c r="B20" s="24" t="inlineStr">
        <is>
          <t>ALT-06</t>
        </is>
      </c>
      <c r="C20" s="24" t="inlineStr">
        <is>
          <t>Duplicate Expenses</t>
        </is>
      </c>
      <c r="D20" s="20" t="inlineStr">
        <is>
          <t>Manual Expenses flagged Possible Duplicate</t>
        </is>
      </c>
      <c r="E20" s="24">
        <f>IF(COUNTIF(tbl_ManualExpenses[Possible Duplicate],"Possible Duplicate")&gt;0,"TRIGGERED ("&amp;COUNTIF(tbl_ManualExpenses[Possible Duplicate],"Possible Duplicate")&amp;")","OK")</f>
        <v/>
      </c>
      <c r="F20" s="24" t="inlineStr">
        <is>
          <t>Info</t>
        </is>
      </c>
    </row>
    <row r="21">
      <c r="B21" s="24" t="inlineStr">
        <is>
          <t>ALT-07</t>
        </is>
      </c>
      <c r="C21" s="24" t="inlineStr">
        <is>
          <t>Inactive Products</t>
        </is>
      </c>
      <c r="D21" s="20" t="inlineStr">
        <is>
          <t>Product Cost Master rows marked Inactive with no Active replacement</t>
        </is>
      </c>
      <c r="E21" s="24">
        <f>IF(CUBEVALUE("ThisWorkbookDataModel","[Measures].[Lines Missing Cost]")&gt;0,"REVIEW — see Products without Cost above (same root cause)","OK")</f>
        <v/>
      </c>
      <c r="F21" s="24" t="inlineStr">
        <is>
          <t>Info</t>
        </is>
      </c>
    </row>
    <row r="22">
      <c r="B22" s="24" t="inlineStr">
        <is>
          <t>ALT-08</t>
        </is>
      </c>
      <c r="C22" s="24" t="inlineStr">
        <is>
          <t>Slow Moving Inventory</t>
        </is>
      </c>
      <c r="D22" s="20" t="inlineStr">
        <is>
          <t>SKUs below the Slow Moving threshold (dax/MEASURES.md)</t>
        </is>
      </c>
      <c r="E22" s="24">
        <f>IF(CUBEVALUE("ThisWorkbookDataModel","[Measures].[Slow Moving SKU Count]")&gt;0,"TRIGGERED ("&amp;CUBEVALUE("ThisWorkbookDataModel","[Measures].[Slow Moving SKU Count]")&amp;" SKUs)","OK")</f>
        <v/>
      </c>
      <c r="F22" s="24" t="inlineStr">
        <is>
          <t>Info</t>
        </is>
      </c>
    </row>
    <row r="23">
      <c r="B23" s="24" t="inlineStr">
        <is>
          <t>ALT-09</t>
        </is>
      </c>
      <c r="C23" s="24" t="inlineStr">
        <is>
          <t>Dead Stock</t>
        </is>
      </c>
      <c r="D23" s="20" t="inlineStr">
        <is>
          <t>SKUs with zero sales in 180 days while still holding stock</t>
        </is>
      </c>
      <c r="E23" s="24">
        <f>IF(CUBEVALUE("ThisWorkbookDataModel","[Measures].[Dead Stock SKU Count]")&gt;0,"TRIGGERED ("&amp;CUBEVALUE("ThisWorkbookDataModel","[Measures].[Dead Stock SKU Count]")&amp;" SKUs)","OK")</f>
        <v/>
      </c>
      <c r="F23" s="24" t="inlineStr">
        <is>
          <t>Warning</t>
        </is>
      </c>
    </row>
    <row r="24">
      <c r="B24" s="24" t="inlineStr">
        <is>
          <t>ALT-10</t>
        </is>
      </c>
      <c r="C24" s="24" t="inlineStr">
        <is>
          <t>Missing Shopify Sync</t>
        </is>
      </c>
      <c r="D24" s="20" t="inlineStr">
        <is>
          <t>No successful refresh recorded in the last 2 days</t>
        </is>
      </c>
      <c r="E24" s="24">
        <f>IF(COUNTIFS(tbl_LOG_RefreshHistory[Timestamp],"&gt;="&amp;TODAY()-2)=0,"TRIGGERED","OK")</f>
        <v/>
      </c>
      <c r="F24" s="24" t="inlineStr">
        <is>
          <t>Critical</t>
        </is>
      </c>
    </row>
    <row r="25">
      <c r="B25" s="24" t="inlineStr">
        <is>
          <t>ALT-11</t>
        </is>
      </c>
      <c r="C25" s="24" t="inlineStr">
        <is>
          <t>Refresh Errors</t>
        </is>
      </c>
      <c r="D25" s="20" t="inlineStr">
        <is>
          <t>LOG_DataQuality rows with a WARNING status this refresh</t>
        </is>
      </c>
      <c r="E25" s="24">
        <f>IF(COUNTIF(tbl_LOG_DataQuality[Status],"WARNING*")&gt;0,"TRIGGERED","OK")</f>
        <v/>
      </c>
      <c r="F25" s="24" t="inlineStr">
        <is>
          <t>Warning</t>
        </is>
      </c>
    </row>
    <row r="26">
      <c r="B26" s="24" t="inlineStr">
        <is>
          <t>ALT-12</t>
        </is>
      </c>
      <c r="C26" s="24" t="inlineStr">
        <is>
          <t>Over Budget Expenses</t>
        </is>
      </c>
      <c r="D26" s="20" t="inlineStr">
        <is>
          <t>Operating Expenses exceed the Budget for the current period</t>
        </is>
      </c>
      <c r="E26" s="24">
        <f>IF(CUBEVALUE("ThisWorkbookDataModel","[Measures].[Operating Expenses]")&gt;CUBEVALUE("ThisWorkbookDataModel","[Measures].[Expense Budget (Period)]"),"TRIGGERED","OK")</f>
        <v/>
      </c>
      <c r="F26" s="24" t="inlineStr">
        <is>
          <t>Warning</t>
        </is>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4:F4"/>
    <mergeCell ref="A2:F2"/>
    <mergeCell ref="B7:F7"/>
    <mergeCell ref="B6:F6"/>
    <mergeCell ref="A1:F1"/>
    <mergeCell ref="B5:F5"/>
    <mergeCell ref="B8:F8"/>
    <mergeCell ref="A3:F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5.xml><?xml version="1.0" encoding="utf-8"?>
<worksheet xmlns="http://schemas.openxmlformats.org/spreadsheetml/2006/main">
  <sheetPr>
    <tabColor rgb="0031859B"/>
    <outlinePr applyStyles="1" summaryBelow="0" summaryRight="1"/>
    <pageSetUpPr/>
  </sheetPr>
  <dimension ref="A1:N41"/>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s>
  <sheetData>
    <row r="1" ht="34" customHeight="1">
      <c r="A1" s="1" t="inlineStr">
        <is>
          <t>BI_Forecast</t>
        </is>
      </c>
    </row>
    <row r="2" ht="16" customHeight="1">
      <c r="A2" s="17" t="inlineStr">
        <is>
          <t>PASSRESS MIS   |   Home ▸ BI_Forecast</t>
        </is>
      </c>
    </row>
    <row r="3" ht="14" customHeight="1">
      <c r="A3" s="3" t="inlineStr">
        <is>
          <t>Sheet Documentation  (use the  +  outline control at left to expand)</t>
        </is>
      </c>
    </row>
    <row r="4" hidden="1" outlineLevel="1" ht="13" customHeight="1">
      <c r="A4" s="4" t="inlineStr">
        <is>
          <t>Purpose</t>
        </is>
      </c>
      <c r="B4" s="5" t="inlineStr">
        <is>
          <t>Rolling-trend forecast for Sales, Expenses, Profit, Inventory, and Cash — Excel's native FORECAST.LINEAR projecting one period ahead from each metric's trailing 12-month actuals (pulled via CUBEVALUE). Deliberately simple (linear trend, not seasonality-aware) so it's easy to audit and easy to replace.</t>
        </is>
      </c>
    </row>
    <row r="5" hidden="1" outlineLevel="1" ht="13" customHeight="1">
      <c r="A5" s="4" t="inlineStr">
        <is>
          <t>Input tables</t>
        </is>
      </c>
      <c r="B5" s="5" t="inlineStr">
        <is>
          <t>The Data Model (dax/MEASURES.md) via CUBEVALUE, trailing 12 months.</t>
        </is>
      </c>
    </row>
    <row r="6" hidden="1" outlineLevel="1" ht="13" customHeight="1">
      <c r="A6" s="4" t="inlineStr">
        <is>
          <t>Output tables</t>
        </is>
      </c>
      <c r="B6" s="5" t="inlineStr">
        <is>
          <t>03_CEO_Dashboard's Forecast section.</t>
        </is>
      </c>
    </row>
    <row r="7" hidden="1" outlineLevel="1" ht="13" customHeight="1">
      <c r="A7" s="4" t="inlineStr">
        <is>
          <t>Relationships</t>
        </is>
      </c>
      <c r="B7" s="5" t="inlineStr">
        <is>
          <t>No Data Model relationship.</t>
        </is>
      </c>
    </row>
    <row r="8" hidden="1" outlineLevel="1" ht="13" customHeight="1">
      <c r="A8" s="4" t="inlineStr">
        <is>
          <t>Future data source</t>
        </is>
      </c>
      <c r="B8" s="5" t="inlineStr">
        <is>
          <t>AI forecasting — replace this table's Method/Formula columns with a call to an external forecasting service once one exists; every other column (Metric, ForecastPeriod, ForecastValue) stays the same shape so downstream references don't break.</t>
        </is>
      </c>
    </row>
    <row r="9" hidden="1" outlineLevel="1"/>
    <row r="10" ht="6" customHeight="1"/>
    <row r="11" ht="18" customHeight="1">
      <c r="B11" s="50" t="inlineStr">
        <is>
          <t>Metric</t>
        </is>
      </c>
      <c r="C11" s="50" t="inlineStr">
        <is>
          <t>Method</t>
        </is>
      </c>
      <c r="D11" s="50" t="inlineStr">
        <is>
          <t>ForecastPeriod</t>
        </is>
      </c>
      <c r="E11" s="50" t="inlineStr">
        <is>
          <t>ForecastValue</t>
        </is>
      </c>
    </row>
    <row r="12">
      <c r="B12" s="30" t="n"/>
      <c r="C12" s="30" t="n"/>
      <c r="D12" s="30" t="n"/>
      <c r="E12" s="30" t="n"/>
    </row>
    <row r="14">
      <c r="B14" s="37" t="inlineStr">
        <is>
          <t>TRAILING 12-MONTH ACTUALS (feeds the forecasts below)</t>
        </is>
      </c>
    </row>
    <row r="15">
      <c r="B15" s="13" t="inlineStr">
        <is>
          <t>Sales — trailing 12 months</t>
        </is>
      </c>
    </row>
    <row r="16">
      <c r="C16" s="21">
        <f>TEXT(EDATE(TODAY(),-11),"mmm-yy")</f>
        <v/>
      </c>
      <c r="D16" s="21">
        <f>TEXT(EDATE(TODAY(),-10),"mmm-yy")</f>
        <v/>
      </c>
      <c r="E16" s="21">
        <f>TEXT(EDATE(TODAY(),-9),"mmm-yy")</f>
        <v/>
      </c>
      <c r="F16" s="21">
        <f>TEXT(EDATE(TODAY(),-8),"mmm-yy")</f>
        <v/>
      </c>
      <c r="G16" s="21">
        <f>TEXT(EDATE(TODAY(),-7),"mmm-yy")</f>
        <v/>
      </c>
      <c r="H16" s="21">
        <f>TEXT(EDATE(TODAY(),-6),"mmm-yy")</f>
        <v/>
      </c>
      <c r="I16" s="21">
        <f>TEXT(EDATE(TODAY(),-5),"mmm-yy")</f>
        <v/>
      </c>
      <c r="J16" s="21">
        <f>TEXT(EDATE(TODAY(),-4),"mmm-yy")</f>
        <v/>
      </c>
      <c r="K16" s="21">
        <f>TEXT(EDATE(TODAY(),-3),"mmm-yy")</f>
        <v/>
      </c>
      <c r="L16" s="21">
        <f>TEXT(EDATE(TODAY(),-2),"mmm-yy")</f>
        <v/>
      </c>
      <c r="M16" s="21">
        <f>TEXT(EDATE(TODAY(),-1),"mmm-yy")</f>
        <v/>
      </c>
      <c r="N16" s="21">
        <f>TEXT(EDATE(TODAY(),0),"mmm-yy")</f>
        <v/>
      </c>
    </row>
    <row r="17">
      <c r="C17" s="22">
        <f>CUBEVALUE("ThisWorkbookDataModel","[Measures].[Net Sales]","[DIM_Date].[Year].&amp;["&amp;YEAR(EDATE(TODAY(),-11))&amp;"]","[DIM_Date].[Month].&amp;["&amp;MONTH(EDATE(TODAY(),-11))&amp;"]")</f>
        <v/>
      </c>
      <c r="D17" s="22">
        <f>CUBEVALUE("ThisWorkbookDataModel","[Measures].[Net Sales]","[DIM_Date].[Year].&amp;["&amp;YEAR(EDATE(TODAY(),-10))&amp;"]","[DIM_Date].[Month].&amp;["&amp;MONTH(EDATE(TODAY(),-10))&amp;"]")</f>
        <v/>
      </c>
      <c r="E17" s="22">
        <f>CUBEVALUE("ThisWorkbookDataModel","[Measures].[Net Sales]","[DIM_Date].[Year].&amp;["&amp;YEAR(EDATE(TODAY(),-9))&amp;"]","[DIM_Date].[Month].&amp;["&amp;MONTH(EDATE(TODAY(),-9))&amp;"]")</f>
        <v/>
      </c>
      <c r="F17" s="22">
        <f>CUBEVALUE("ThisWorkbookDataModel","[Measures].[Net Sales]","[DIM_Date].[Year].&amp;["&amp;YEAR(EDATE(TODAY(),-8))&amp;"]","[DIM_Date].[Month].&amp;["&amp;MONTH(EDATE(TODAY(),-8))&amp;"]")</f>
        <v/>
      </c>
      <c r="G17" s="22">
        <f>CUBEVALUE("ThisWorkbookDataModel","[Measures].[Net Sales]","[DIM_Date].[Year].&amp;["&amp;YEAR(EDATE(TODAY(),-7))&amp;"]","[DIM_Date].[Month].&amp;["&amp;MONTH(EDATE(TODAY(),-7))&amp;"]")</f>
        <v/>
      </c>
      <c r="H17" s="22">
        <f>CUBEVALUE("ThisWorkbookDataModel","[Measures].[Net Sales]","[DIM_Date].[Year].&amp;["&amp;YEAR(EDATE(TODAY(),-6))&amp;"]","[DIM_Date].[Month].&amp;["&amp;MONTH(EDATE(TODAY(),-6))&amp;"]")</f>
        <v/>
      </c>
      <c r="I17" s="22">
        <f>CUBEVALUE("ThisWorkbookDataModel","[Measures].[Net Sales]","[DIM_Date].[Year].&amp;["&amp;YEAR(EDATE(TODAY(),-5))&amp;"]","[DIM_Date].[Month].&amp;["&amp;MONTH(EDATE(TODAY(),-5))&amp;"]")</f>
        <v/>
      </c>
      <c r="J17" s="22">
        <f>CUBEVALUE("ThisWorkbookDataModel","[Measures].[Net Sales]","[DIM_Date].[Year].&amp;["&amp;YEAR(EDATE(TODAY(),-4))&amp;"]","[DIM_Date].[Month].&amp;["&amp;MONTH(EDATE(TODAY(),-4))&amp;"]")</f>
        <v/>
      </c>
      <c r="K17" s="22">
        <f>CUBEVALUE("ThisWorkbookDataModel","[Measures].[Net Sales]","[DIM_Date].[Year].&amp;["&amp;YEAR(EDATE(TODAY(),-3))&amp;"]","[DIM_Date].[Month].&amp;["&amp;MONTH(EDATE(TODAY(),-3))&amp;"]")</f>
        <v/>
      </c>
      <c r="L17" s="22">
        <f>CUBEVALUE("ThisWorkbookDataModel","[Measures].[Net Sales]","[DIM_Date].[Year].&amp;["&amp;YEAR(EDATE(TODAY(),-2))&amp;"]","[DIM_Date].[Month].&amp;["&amp;MONTH(EDATE(TODAY(),-2))&amp;"]")</f>
        <v/>
      </c>
      <c r="M17" s="22">
        <f>CUBEVALUE("ThisWorkbookDataModel","[Measures].[Net Sales]","[DIM_Date].[Year].&amp;["&amp;YEAR(EDATE(TODAY(),-1))&amp;"]","[DIM_Date].[Month].&amp;["&amp;MONTH(EDATE(TODAY(),-1))&amp;"]")</f>
        <v/>
      </c>
      <c r="N17" s="22">
        <f>CUBEVALUE("ThisWorkbookDataModel","[Measures].[Net Sales]","[DIM_Date].[Year].&amp;["&amp;YEAR(EDATE(TODAY(),0))&amp;"]","[DIM_Date].[Month].&amp;["&amp;MONTH(EDATE(TODAY(),0))&amp;"]")</f>
        <v/>
      </c>
    </row>
    <row r="19">
      <c r="B19" s="13" t="inlineStr">
        <is>
          <t>Expenses — trailing 12 months</t>
        </is>
      </c>
    </row>
    <row r="20">
      <c r="C20" s="21">
        <f>TEXT(EDATE(TODAY(),-11),"mmm-yy")</f>
        <v/>
      </c>
      <c r="D20" s="21">
        <f>TEXT(EDATE(TODAY(),-10),"mmm-yy")</f>
        <v/>
      </c>
      <c r="E20" s="21">
        <f>TEXT(EDATE(TODAY(),-9),"mmm-yy")</f>
        <v/>
      </c>
      <c r="F20" s="21">
        <f>TEXT(EDATE(TODAY(),-8),"mmm-yy")</f>
        <v/>
      </c>
      <c r="G20" s="21">
        <f>TEXT(EDATE(TODAY(),-7),"mmm-yy")</f>
        <v/>
      </c>
      <c r="H20" s="21">
        <f>TEXT(EDATE(TODAY(),-6),"mmm-yy")</f>
        <v/>
      </c>
      <c r="I20" s="21">
        <f>TEXT(EDATE(TODAY(),-5),"mmm-yy")</f>
        <v/>
      </c>
      <c r="J20" s="21">
        <f>TEXT(EDATE(TODAY(),-4),"mmm-yy")</f>
        <v/>
      </c>
      <c r="K20" s="21">
        <f>TEXT(EDATE(TODAY(),-3),"mmm-yy")</f>
        <v/>
      </c>
      <c r="L20" s="21">
        <f>TEXT(EDATE(TODAY(),-2),"mmm-yy")</f>
        <v/>
      </c>
      <c r="M20" s="21">
        <f>TEXT(EDATE(TODAY(),-1),"mmm-yy")</f>
        <v/>
      </c>
      <c r="N20" s="21">
        <f>TEXT(EDATE(TODAY(),0),"mmm-yy")</f>
        <v/>
      </c>
    </row>
    <row r="21">
      <c r="C21" s="22">
        <f>CUBEVALUE("ThisWorkbookDataModel","[Measures].[Operating Expenses]","[DIM_Date].[Year].&amp;["&amp;YEAR(EDATE(TODAY(),-11))&amp;"]","[DIM_Date].[Month].&amp;["&amp;MONTH(EDATE(TODAY(),-11))&amp;"]")</f>
        <v/>
      </c>
      <c r="D21" s="22">
        <f>CUBEVALUE("ThisWorkbookDataModel","[Measures].[Operating Expenses]","[DIM_Date].[Year].&amp;["&amp;YEAR(EDATE(TODAY(),-10))&amp;"]","[DIM_Date].[Month].&amp;["&amp;MONTH(EDATE(TODAY(),-10))&amp;"]")</f>
        <v/>
      </c>
      <c r="E21" s="22">
        <f>CUBEVALUE("ThisWorkbookDataModel","[Measures].[Operating Expenses]","[DIM_Date].[Year].&amp;["&amp;YEAR(EDATE(TODAY(),-9))&amp;"]","[DIM_Date].[Month].&amp;["&amp;MONTH(EDATE(TODAY(),-9))&amp;"]")</f>
        <v/>
      </c>
      <c r="F21" s="22">
        <f>CUBEVALUE("ThisWorkbookDataModel","[Measures].[Operating Expenses]","[DIM_Date].[Year].&amp;["&amp;YEAR(EDATE(TODAY(),-8))&amp;"]","[DIM_Date].[Month].&amp;["&amp;MONTH(EDATE(TODAY(),-8))&amp;"]")</f>
        <v/>
      </c>
      <c r="G21" s="22">
        <f>CUBEVALUE("ThisWorkbookDataModel","[Measures].[Operating Expenses]","[DIM_Date].[Year].&amp;["&amp;YEAR(EDATE(TODAY(),-7))&amp;"]","[DIM_Date].[Month].&amp;["&amp;MONTH(EDATE(TODAY(),-7))&amp;"]")</f>
        <v/>
      </c>
      <c r="H21" s="22">
        <f>CUBEVALUE("ThisWorkbookDataModel","[Measures].[Operating Expenses]","[DIM_Date].[Year].&amp;["&amp;YEAR(EDATE(TODAY(),-6))&amp;"]","[DIM_Date].[Month].&amp;["&amp;MONTH(EDATE(TODAY(),-6))&amp;"]")</f>
        <v/>
      </c>
      <c r="I21" s="22">
        <f>CUBEVALUE("ThisWorkbookDataModel","[Measures].[Operating Expenses]","[DIM_Date].[Year].&amp;["&amp;YEAR(EDATE(TODAY(),-5))&amp;"]","[DIM_Date].[Month].&amp;["&amp;MONTH(EDATE(TODAY(),-5))&amp;"]")</f>
        <v/>
      </c>
      <c r="J21" s="22">
        <f>CUBEVALUE("ThisWorkbookDataModel","[Measures].[Operating Expenses]","[DIM_Date].[Year].&amp;["&amp;YEAR(EDATE(TODAY(),-4))&amp;"]","[DIM_Date].[Month].&amp;["&amp;MONTH(EDATE(TODAY(),-4))&amp;"]")</f>
        <v/>
      </c>
      <c r="K21" s="22">
        <f>CUBEVALUE("ThisWorkbookDataModel","[Measures].[Operating Expenses]","[DIM_Date].[Year].&amp;["&amp;YEAR(EDATE(TODAY(),-3))&amp;"]","[DIM_Date].[Month].&amp;["&amp;MONTH(EDATE(TODAY(),-3))&amp;"]")</f>
        <v/>
      </c>
      <c r="L21" s="22">
        <f>CUBEVALUE("ThisWorkbookDataModel","[Measures].[Operating Expenses]","[DIM_Date].[Year].&amp;["&amp;YEAR(EDATE(TODAY(),-2))&amp;"]","[DIM_Date].[Month].&amp;["&amp;MONTH(EDATE(TODAY(),-2))&amp;"]")</f>
        <v/>
      </c>
      <c r="M21" s="22">
        <f>CUBEVALUE("ThisWorkbookDataModel","[Measures].[Operating Expenses]","[DIM_Date].[Year].&amp;["&amp;YEAR(EDATE(TODAY(),-1))&amp;"]","[DIM_Date].[Month].&amp;["&amp;MONTH(EDATE(TODAY(),-1))&amp;"]")</f>
        <v/>
      </c>
      <c r="N21" s="22">
        <f>CUBEVALUE("ThisWorkbookDataModel","[Measures].[Operating Expenses]","[DIM_Date].[Year].&amp;["&amp;YEAR(EDATE(TODAY(),0))&amp;"]","[DIM_Date].[Month].&amp;["&amp;MONTH(EDATE(TODAY(),0))&amp;"]")</f>
        <v/>
      </c>
    </row>
    <row r="23">
      <c r="B23" s="13" t="inlineStr">
        <is>
          <t>Profit — trailing 12 months</t>
        </is>
      </c>
    </row>
    <row r="24">
      <c r="C24" s="21">
        <f>TEXT(EDATE(TODAY(),-11),"mmm-yy")</f>
        <v/>
      </c>
      <c r="D24" s="21">
        <f>TEXT(EDATE(TODAY(),-10),"mmm-yy")</f>
        <v/>
      </c>
      <c r="E24" s="21">
        <f>TEXT(EDATE(TODAY(),-9),"mmm-yy")</f>
        <v/>
      </c>
      <c r="F24" s="21">
        <f>TEXT(EDATE(TODAY(),-8),"mmm-yy")</f>
        <v/>
      </c>
      <c r="G24" s="21">
        <f>TEXT(EDATE(TODAY(),-7),"mmm-yy")</f>
        <v/>
      </c>
      <c r="H24" s="21">
        <f>TEXT(EDATE(TODAY(),-6),"mmm-yy")</f>
        <v/>
      </c>
      <c r="I24" s="21">
        <f>TEXT(EDATE(TODAY(),-5),"mmm-yy")</f>
        <v/>
      </c>
      <c r="J24" s="21">
        <f>TEXT(EDATE(TODAY(),-4),"mmm-yy")</f>
        <v/>
      </c>
      <c r="K24" s="21">
        <f>TEXT(EDATE(TODAY(),-3),"mmm-yy")</f>
        <v/>
      </c>
      <c r="L24" s="21">
        <f>TEXT(EDATE(TODAY(),-2),"mmm-yy")</f>
        <v/>
      </c>
      <c r="M24" s="21">
        <f>TEXT(EDATE(TODAY(),-1),"mmm-yy")</f>
        <v/>
      </c>
      <c r="N24" s="21">
        <f>TEXT(EDATE(TODAY(),0),"mmm-yy")</f>
        <v/>
      </c>
    </row>
    <row r="25">
      <c r="C25" s="22">
        <f>CUBEVALUE("ThisWorkbookDataModel","[Measures].[Net Profit]","[DIM_Date].[Year].&amp;["&amp;YEAR(EDATE(TODAY(),-11))&amp;"]","[DIM_Date].[Month].&amp;["&amp;MONTH(EDATE(TODAY(),-11))&amp;"]")</f>
        <v/>
      </c>
      <c r="D25" s="22">
        <f>CUBEVALUE("ThisWorkbookDataModel","[Measures].[Net Profit]","[DIM_Date].[Year].&amp;["&amp;YEAR(EDATE(TODAY(),-10))&amp;"]","[DIM_Date].[Month].&amp;["&amp;MONTH(EDATE(TODAY(),-10))&amp;"]")</f>
        <v/>
      </c>
      <c r="E25" s="22">
        <f>CUBEVALUE("ThisWorkbookDataModel","[Measures].[Net Profit]","[DIM_Date].[Year].&amp;["&amp;YEAR(EDATE(TODAY(),-9))&amp;"]","[DIM_Date].[Month].&amp;["&amp;MONTH(EDATE(TODAY(),-9))&amp;"]")</f>
        <v/>
      </c>
      <c r="F25" s="22">
        <f>CUBEVALUE("ThisWorkbookDataModel","[Measures].[Net Profit]","[DIM_Date].[Year].&amp;["&amp;YEAR(EDATE(TODAY(),-8))&amp;"]","[DIM_Date].[Month].&amp;["&amp;MONTH(EDATE(TODAY(),-8))&amp;"]")</f>
        <v/>
      </c>
      <c r="G25" s="22">
        <f>CUBEVALUE("ThisWorkbookDataModel","[Measures].[Net Profit]","[DIM_Date].[Year].&amp;["&amp;YEAR(EDATE(TODAY(),-7))&amp;"]","[DIM_Date].[Month].&amp;["&amp;MONTH(EDATE(TODAY(),-7))&amp;"]")</f>
        <v/>
      </c>
      <c r="H25" s="22">
        <f>CUBEVALUE("ThisWorkbookDataModel","[Measures].[Net Profit]","[DIM_Date].[Year].&amp;["&amp;YEAR(EDATE(TODAY(),-6))&amp;"]","[DIM_Date].[Month].&amp;["&amp;MONTH(EDATE(TODAY(),-6))&amp;"]")</f>
        <v/>
      </c>
      <c r="I25" s="22">
        <f>CUBEVALUE("ThisWorkbookDataModel","[Measures].[Net Profit]","[DIM_Date].[Year].&amp;["&amp;YEAR(EDATE(TODAY(),-5))&amp;"]","[DIM_Date].[Month].&amp;["&amp;MONTH(EDATE(TODAY(),-5))&amp;"]")</f>
        <v/>
      </c>
      <c r="J25" s="22">
        <f>CUBEVALUE("ThisWorkbookDataModel","[Measures].[Net Profit]","[DIM_Date].[Year].&amp;["&amp;YEAR(EDATE(TODAY(),-4))&amp;"]","[DIM_Date].[Month].&amp;["&amp;MONTH(EDATE(TODAY(),-4))&amp;"]")</f>
        <v/>
      </c>
      <c r="K25" s="22">
        <f>CUBEVALUE("ThisWorkbookDataModel","[Measures].[Net Profit]","[DIM_Date].[Year].&amp;["&amp;YEAR(EDATE(TODAY(),-3))&amp;"]","[DIM_Date].[Month].&amp;["&amp;MONTH(EDATE(TODAY(),-3))&amp;"]")</f>
        <v/>
      </c>
      <c r="L25" s="22">
        <f>CUBEVALUE("ThisWorkbookDataModel","[Measures].[Net Profit]","[DIM_Date].[Year].&amp;["&amp;YEAR(EDATE(TODAY(),-2))&amp;"]","[DIM_Date].[Month].&amp;["&amp;MONTH(EDATE(TODAY(),-2))&amp;"]")</f>
        <v/>
      </c>
      <c r="M25" s="22">
        <f>CUBEVALUE("ThisWorkbookDataModel","[Measures].[Net Profit]","[DIM_Date].[Year].&amp;["&amp;YEAR(EDATE(TODAY(),-1))&amp;"]","[DIM_Date].[Month].&amp;["&amp;MONTH(EDATE(TODAY(),-1))&amp;"]")</f>
        <v/>
      </c>
      <c r="N25" s="22">
        <f>CUBEVALUE("ThisWorkbookDataModel","[Measures].[Net Profit]","[DIM_Date].[Year].&amp;["&amp;YEAR(EDATE(TODAY(),0))&amp;"]","[DIM_Date].[Month].&amp;["&amp;MONTH(EDATE(TODAY(),0))&amp;"]")</f>
        <v/>
      </c>
    </row>
    <row r="27">
      <c r="B27" s="13" t="inlineStr">
        <is>
          <t>Inventory — trailing 12 months</t>
        </is>
      </c>
    </row>
    <row r="28">
      <c r="C28" s="21">
        <f>TEXT(EDATE(TODAY(),-11),"mmm-yy")</f>
        <v/>
      </c>
      <c r="D28" s="21">
        <f>TEXT(EDATE(TODAY(),-10),"mmm-yy")</f>
        <v/>
      </c>
      <c r="E28" s="21">
        <f>TEXT(EDATE(TODAY(),-9),"mmm-yy")</f>
        <v/>
      </c>
      <c r="F28" s="21">
        <f>TEXT(EDATE(TODAY(),-8),"mmm-yy")</f>
        <v/>
      </c>
      <c r="G28" s="21">
        <f>TEXT(EDATE(TODAY(),-7),"mmm-yy")</f>
        <v/>
      </c>
      <c r="H28" s="21">
        <f>TEXT(EDATE(TODAY(),-6),"mmm-yy")</f>
        <v/>
      </c>
      <c r="I28" s="21">
        <f>TEXT(EDATE(TODAY(),-5),"mmm-yy")</f>
        <v/>
      </c>
      <c r="J28" s="21">
        <f>TEXT(EDATE(TODAY(),-4),"mmm-yy")</f>
        <v/>
      </c>
      <c r="K28" s="21">
        <f>TEXT(EDATE(TODAY(),-3),"mmm-yy")</f>
        <v/>
      </c>
      <c r="L28" s="21">
        <f>TEXT(EDATE(TODAY(),-2),"mmm-yy")</f>
        <v/>
      </c>
      <c r="M28" s="21">
        <f>TEXT(EDATE(TODAY(),-1),"mmm-yy")</f>
        <v/>
      </c>
      <c r="N28" s="21">
        <f>TEXT(EDATE(TODAY(),0),"mmm-yy")</f>
        <v/>
      </c>
    </row>
    <row r="29">
      <c r="C29" s="22">
        <f>CUBEVALUE("ThisWorkbookDataModel","[Measures].[Inventory Value]","[DIM_Date].[Year].&amp;["&amp;YEAR(EDATE(TODAY(),-11))&amp;"]","[DIM_Date].[Month].&amp;["&amp;MONTH(EDATE(TODAY(),-11))&amp;"]")</f>
        <v/>
      </c>
      <c r="D29" s="22">
        <f>CUBEVALUE("ThisWorkbookDataModel","[Measures].[Inventory Value]","[DIM_Date].[Year].&amp;["&amp;YEAR(EDATE(TODAY(),-10))&amp;"]","[DIM_Date].[Month].&amp;["&amp;MONTH(EDATE(TODAY(),-10))&amp;"]")</f>
        <v/>
      </c>
      <c r="E29" s="22">
        <f>CUBEVALUE("ThisWorkbookDataModel","[Measures].[Inventory Value]","[DIM_Date].[Year].&amp;["&amp;YEAR(EDATE(TODAY(),-9))&amp;"]","[DIM_Date].[Month].&amp;["&amp;MONTH(EDATE(TODAY(),-9))&amp;"]")</f>
        <v/>
      </c>
      <c r="F29" s="22">
        <f>CUBEVALUE("ThisWorkbookDataModel","[Measures].[Inventory Value]","[DIM_Date].[Year].&amp;["&amp;YEAR(EDATE(TODAY(),-8))&amp;"]","[DIM_Date].[Month].&amp;["&amp;MONTH(EDATE(TODAY(),-8))&amp;"]")</f>
        <v/>
      </c>
      <c r="G29" s="22">
        <f>CUBEVALUE("ThisWorkbookDataModel","[Measures].[Inventory Value]","[DIM_Date].[Year].&amp;["&amp;YEAR(EDATE(TODAY(),-7))&amp;"]","[DIM_Date].[Month].&amp;["&amp;MONTH(EDATE(TODAY(),-7))&amp;"]")</f>
        <v/>
      </c>
      <c r="H29" s="22">
        <f>CUBEVALUE("ThisWorkbookDataModel","[Measures].[Inventory Value]","[DIM_Date].[Year].&amp;["&amp;YEAR(EDATE(TODAY(),-6))&amp;"]","[DIM_Date].[Month].&amp;["&amp;MONTH(EDATE(TODAY(),-6))&amp;"]")</f>
        <v/>
      </c>
      <c r="I29" s="22">
        <f>CUBEVALUE("ThisWorkbookDataModel","[Measures].[Inventory Value]","[DIM_Date].[Year].&amp;["&amp;YEAR(EDATE(TODAY(),-5))&amp;"]","[DIM_Date].[Month].&amp;["&amp;MONTH(EDATE(TODAY(),-5))&amp;"]")</f>
        <v/>
      </c>
      <c r="J29" s="22">
        <f>CUBEVALUE("ThisWorkbookDataModel","[Measures].[Inventory Value]","[DIM_Date].[Year].&amp;["&amp;YEAR(EDATE(TODAY(),-4))&amp;"]","[DIM_Date].[Month].&amp;["&amp;MONTH(EDATE(TODAY(),-4))&amp;"]")</f>
        <v/>
      </c>
      <c r="K29" s="22">
        <f>CUBEVALUE("ThisWorkbookDataModel","[Measures].[Inventory Value]","[DIM_Date].[Year].&amp;["&amp;YEAR(EDATE(TODAY(),-3))&amp;"]","[DIM_Date].[Month].&amp;["&amp;MONTH(EDATE(TODAY(),-3))&amp;"]")</f>
        <v/>
      </c>
      <c r="L29" s="22">
        <f>CUBEVALUE("ThisWorkbookDataModel","[Measures].[Inventory Value]","[DIM_Date].[Year].&amp;["&amp;YEAR(EDATE(TODAY(),-2))&amp;"]","[DIM_Date].[Month].&amp;["&amp;MONTH(EDATE(TODAY(),-2))&amp;"]")</f>
        <v/>
      </c>
      <c r="M29" s="22">
        <f>CUBEVALUE("ThisWorkbookDataModel","[Measures].[Inventory Value]","[DIM_Date].[Year].&amp;["&amp;YEAR(EDATE(TODAY(),-1))&amp;"]","[DIM_Date].[Month].&amp;["&amp;MONTH(EDATE(TODAY(),-1))&amp;"]")</f>
        <v/>
      </c>
      <c r="N29" s="22">
        <f>CUBEVALUE("ThisWorkbookDataModel","[Measures].[Inventory Value]","[DIM_Date].[Year].&amp;["&amp;YEAR(EDATE(TODAY(),0))&amp;"]","[DIM_Date].[Month].&amp;["&amp;MONTH(EDATE(TODAY(),0))&amp;"]")</f>
        <v/>
      </c>
    </row>
    <row r="31">
      <c r="B31" s="13" t="inlineStr">
        <is>
          <t>Cash — trailing 12 months</t>
        </is>
      </c>
    </row>
    <row r="32">
      <c r="C32" s="21">
        <f>TEXT(EDATE(TODAY(),-11),"mmm-yy")</f>
        <v/>
      </c>
      <c r="D32" s="21">
        <f>TEXT(EDATE(TODAY(),-10),"mmm-yy")</f>
        <v/>
      </c>
      <c r="E32" s="21">
        <f>TEXT(EDATE(TODAY(),-9),"mmm-yy")</f>
        <v/>
      </c>
      <c r="F32" s="21">
        <f>TEXT(EDATE(TODAY(),-8),"mmm-yy")</f>
        <v/>
      </c>
      <c r="G32" s="21">
        <f>TEXT(EDATE(TODAY(),-7),"mmm-yy")</f>
        <v/>
      </c>
      <c r="H32" s="21">
        <f>TEXT(EDATE(TODAY(),-6),"mmm-yy")</f>
        <v/>
      </c>
      <c r="I32" s="21">
        <f>TEXT(EDATE(TODAY(),-5),"mmm-yy")</f>
        <v/>
      </c>
      <c r="J32" s="21">
        <f>TEXT(EDATE(TODAY(),-4),"mmm-yy")</f>
        <v/>
      </c>
      <c r="K32" s="21">
        <f>TEXT(EDATE(TODAY(),-3),"mmm-yy")</f>
        <v/>
      </c>
      <c r="L32" s="21">
        <f>TEXT(EDATE(TODAY(),-2),"mmm-yy")</f>
        <v/>
      </c>
      <c r="M32" s="21">
        <f>TEXT(EDATE(TODAY(),-1),"mmm-yy")</f>
        <v/>
      </c>
      <c r="N32" s="21">
        <f>TEXT(EDATE(TODAY(),0),"mmm-yy")</f>
        <v/>
      </c>
    </row>
    <row r="33">
      <c r="C33" s="22">
        <f>CUBEVALUE("ThisWorkbookDataModel","[Measures].[Cash Position (Direct, Cumulative)]","[DIM_Date].[Year].&amp;["&amp;YEAR(EDATE(TODAY(),-11))&amp;"]","[DIM_Date].[Month].&amp;["&amp;MONTH(EDATE(TODAY(),-11))&amp;"]")</f>
        <v/>
      </c>
      <c r="D33" s="22">
        <f>CUBEVALUE("ThisWorkbookDataModel","[Measures].[Cash Position (Direct, Cumulative)]","[DIM_Date].[Year].&amp;["&amp;YEAR(EDATE(TODAY(),-10))&amp;"]","[DIM_Date].[Month].&amp;["&amp;MONTH(EDATE(TODAY(),-10))&amp;"]")</f>
        <v/>
      </c>
      <c r="E33" s="22">
        <f>CUBEVALUE("ThisWorkbookDataModel","[Measures].[Cash Position (Direct, Cumulative)]","[DIM_Date].[Year].&amp;["&amp;YEAR(EDATE(TODAY(),-9))&amp;"]","[DIM_Date].[Month].&amp;["&amp;MONTH(EDATE(TODAY(),-9))&amp;"]")</f>
        <v/>
      </c>
      <c r="F33" s="22">
        <f>CUBEVALUE("ThisWorkbookDataModel","[Measures].[Cash Position (Direct, Cumulative)]","[DIM_Date].[Year].&amp;["&amp;YEAR(EDATE(TODAY(),-8))&amp;"]","[DIM_Date].[Month].&amp;["&amp;MONTH(EDATE(TODAY(),-8))&amp;"]")</f>
        <v/>
      </c>
      <c r="G33" s="22">
        <f>CUBEVALUE("ThisWorkbookDataModel","[Measures].[Cash Position (Direct, Cumulative)]","[DIM_Date].[Year].&amp;["&amp;YEAR(EDATE(TODAY(),-7))&amp;"]","[DIM_Date].[Month].&amp;["&amp;MONTH(EDATE(TODAY(),-7))&amp;"]")</f>
        <v/>
      </c>
      <c r="H33" s="22">
        <f>CUBEVALUE("ThisWorkbookDataModel","[Measures].[Cash Position (Direct, Cumulative)]","[DIM_Date].[Year].&amp;["&amp;YEAR(EDATE(TODAY(),-6))&amp;"]","[DIM_Date].[Month].&amp;["&amp;MONTH(EDATE(TODAY(),-6))&amp;"]")</f>
        <v/>
      </c>
      <c r="I33" s="22">
        <f>CUBEVALUE("ThisWorkbookDataModel","[Measures].[Cash Position (Direct, Cumulative)]","[DIM_Date].[Year].&amp;["&amp;YEAR(EDATE(TODAY(),-5))&amp;"]","[DIM_Date].[Month].&amp;["&amp;MONTH(EDATE(TODAY(),-5))&amp;"]")</f>
        <v/>
      </c>
      <c r="J33" s="22">
        <f>CUBEVALUE("ThisWorkbookDataModel","[Measures].[Cash Position (Direct, Cumulative)]","[DIM_Date].[Year].&amp;["&amp;YEAR(EDATE(TODAY(),-4))&amp;"]","[DIM_Date].[Month].&amp;["&amp;MONTH(EDATE(TODAY(),-4))&amp;"]")</f>
        <v/>
      </c>
      <c r="K33" s="22">
        <f>CUBEVALUE("ThisWorkbookDataModel","[Measures].[Cash Position (Direct, Cumulative)]","[DIM_Date].[Year].&amp;["&amp;YEAR(EDATE(TODAY(),-3))&amp;"]","[DIM_Date].[Month].&amp;["&amp;MONTH(EDATE(TODAY(),-3))&amp;"]")</f>
        <v/>
      </c>
      <c r="L33" s="22">
        <f>CUBEVALUE("ThisWorkbookDataModel","[Measures].[Cash Position (Direct, Cumulative)]","[DIM_Date].[Year].&amp;["&amp;YEAR(EDATE(TODAY(),-2))&amp;"]","[DIM_Date].[Month].&amp;["&amp;MONTH(EDATE(TODAY(),-2))&amp;"]")</f>
        <v/>
      </c>
      <c r="M33" s="22">
        <f>CUBEVALUE("ThisWorkbookDataModel","[Measures].[Cash Position (Direct, Cumulative)]","[DIM_Date].[Year].&amp;["&amp;YEAR(EDATE(TODAY(),-1))&amp;"]","[DIM_Date].[Month].&amp;["&amp;MONTH(EDATE(TODAY(),-1))&amp;"]")</f>
        <v/>
      </c>
      <c r="N33" s="22">
        <f>CUBEVALUE("ThisWorkbookDataModel","[Measures].[Cash Position (Direct, Cumulative)]","[DIM_Date].[Year].&amp;["&amp;YEAR(EDATE(TODAY(),0))&amp;"]","[DIM_Date].[Month].&amp;["&amp;MONTH(EDATE(TODAY(),0))&amp;"]")</f>
        <v/>
      </c>
    </row>
    <row r="36">
      <c r="B36" s="37" t="inlineStr">
        <is>
          <t>FORECAST (next period, linear trend)</t>
        </is>
      </c>
    </row>
    <row r="37">
      <c r="B37" s="24" t="inlineStr">
        <is>
          <t>Sales</t>
        </is>
      </c>
      <c r="C37" s="24" t="inlineStr">
        <is>
          <t>Linear Trend (FORECAST.LINEAR)</t>
        </is>
      </c>
      <c r="D37" s="24" t="inlineStr">
        <is>
          <t>Next Month</t>
        </is>
      </c>
      <c r="E37" s="44">
        <f>_xlfn.FORECAST.LINEAR(13,C17:N17,{1,2,3,4,5,6,7,8,9,10,11,12})</f>
        <v/>
      </c>
    </row>
    <row r="38">
      <c r="B38" s="24" t="inlineStr">
        <is>
          <t>Expenses</t>
        </is>
      </c>
      <c r="C38" s="24" t="inlineStr">
        <is>
          <t>Linear Trend (FORECAST.LINEAR)</t>
        </is>
      </c>
      <c r="D38" s="24" t="inlineStr">
        <is>
          <t>Next Month</t>
        </is>
      </c>
      <c r="E38" s="44">
        <f>_xlfn.FORECAST.LINEAR(13,C21:N21,{1,2,3,4,5,6,7,8,9,10,11,12})</f>
        <v/>
      </c>
    </row>
    <row r="39">
      <c r="B39" s="24" t="inlineStr">
        <is>
          <t>Profit</t>
        </is>
      </c>
      <c r="C39" s="24" t="inlineStr">
        <is>
          <t>Linear Trend (FORECAST.LINEAR)</t>
        </is>
      </c>
      <c r="D39" s="24" t="inlineStr">
        <is>
          <t>Next Month</t>
        </is>
      </c>
      <c r="E39" s="44">
        <f>_xlfn.FORECAST.LINEAR(13,C25:N25,{1,2,3,4,5,6,7,8,9,10,11,12})</f>
        <v/>
      </c>
    </row>
    <row r="40">
      <c r="B40" s="24" t="inlineStr">
        <is>
          <t>Inventory</t>
        </is>
      </c>
      <c r="C40" s="24" t="inlineStr">
        <is>
          <t>Linear Trend (FORECAST.LINEAR)</t>
        </is>
      </c>
      <c r="D40" s="24" t="inlineStr">
        <is>
          <t>Next Month</t>
        </is>
      </c>
      <c r="E40" s="44">
        <f>_xlfn.FORECAST.LINEAR(13,C29:N29,{1,2,3,4,5,6,7,8,9,10,11,12})</f>
        <v/>
      </c>
    </row>
    <row r="41">
      <c r="B41" s="24" t="inlineStr">
        <is>
          <t>Cash</t>
        </is>
      </c>
      <c r="C41" s="24" t="inlineStr">
        <is>
          <t>Linear Trend (FORECAST.LINEAR)</t>
        </is>
      </c>
      <c r="D41" s="24" t="inlineStr">
        <is>
          <t>Next Month</t>
        </is>
      </c>
      <c r="E41" s="44">
        <f>_xlfn.FORECAST.LINEAR(13,C33:N33,{1,2,3,4,5,6,7,8,9,10,11,12})</f>
        <v/>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E8"/>
    <mergeCell ref="B4:E4"/>
    <mergeCell ref="A2:E2"/>
    <mergeCell ref="B6:E6"/>
    <mergeCell ref="B7:E7"/>
    <mergeCell ref="A1:E1"/>
    <mergeCell ref="B5:E5"/>
    <mergeCell ref="A3:E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6.xml><?xml version="1.0" encoding="utf-8"?>
<worksheet xmlns="http://schemas.openxmlformats.org/spreadsheetml/2006/main">
  <sheetPr>
    <tabColor rgb="0031859B"/>
    <outlinePr applyStyles="1" summaryBelow="0" summaryRight="1"/>
    <pageSetUpPr/>
  </sheetPr>
  <dimension ref="A1:E27"/>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 width="16" customWidth="1" min="5" max="5"/>
  </cols>
  <sheetData>
    <row r="1" ht="34" customHeight="1">
      <c r="A1" s="1" t="inlineStr">
        <is>
          <t>BI_HealthScore</t>
        </is>
      </c>
    </row>
    <row r="2" ht="16" customHeight="1">
      <c r="A2" s="17" t="inlineStr">
        <is>
          <t>PASSRESS MIS   |   Home ▸ BI_HealthScore</t>
        </is>
      </c>
    </row>
    <row r="3" ht="14" customHeight="1">
      <c r="A3" s="3" t="inlineStr">
        <is>
          <t>Sheet Documentation  (use the  +  outline control at left to expand)</t>
        </is>
      </c>
    </row>
    <row r="4" hidden="1" outlineLevel="1" ht="13" customHeight="1">
      <c r="A4" s="4" t="inlineStr">
        <is>
          <t>Purpose</t>
        </is>
      </c>
      <c r="B4" s="5" t="inlineStr">
        <is>
          <t>The single master KPI (0-100, Red/Amber/Green) combining 10 weighted components across growth, profitability, cash, inventory, customers, budget, data quality, and alerts — the one number an executive glances at first.</t>
        </is>
      </c>
    </row>
    <row r="5" hidden="1" outlineLevel="1" ht="13" customHeight="1">
      <c r="A5" s="4" t="inlineStr">
        <is>
          <t>Input tables</t>
        </is>
      </c>
      <c r="B5" s="5" t="inlineStr">
        <is>
          <t>The Data Model (dax/MEASURES.md, PHASE5/6 addenda) via CUBEVALUE; 14_Data_Quality's Overall Data Quality %; BI_Alerts' Status column; tbl_HealthScoreWeights (15_Settings).</t>
        </is>
      </c>
    </row>
    <row r="6" hidden="1" outlineLevel="1" ht="13" customHeight="1">
      <c r="A6" s="4" t="inlineStr">
        <is>
          <t>Output tables</t>
        </is>
      </c>
      <c r="B6" s="5" t="inlineStr">
        <is>
          <t>02_Partner_Dashboard, 03_CEO_Dashboard, and RPT_ExecutiveBrief all reference this sheet's Total Score cell directly.</t>
        </is>
      </c>
    </row>
    <row r="7" hidden="1" outlineLevel="1" ht="13" customHeight="1">
      <c r="A7" s="4" t="inlineStr">
        <is>
          <t>Relationships</t>
        </is>
      </c>
      <c r="B7" s="5" t="inlineStr">
        <is>
          <t>No Data Model relationship — reads via CUBE functions and direct cell/table references, same mechanism as BI_Insights/BI_Alerts.</t>
        </is>
      </c>
    </row>
    <row r="8" hidden="1" outlineLevel="1" ht="13" customHeight="1">
      <c r="A8" s="4" t="inlineStr">
        <is>
          <t>Future data source</t>
        </is>
      </c>
      <c r="B8" s="5" t="inlineStr">
        <is>
          <t>Already live: resolves for real once the Data Model + measures are wired.</t>
        </is>
      </c>
    </row>
    <row r="9" hidden="1" outlineLevel="1"/>
    <row r="10" ht="6" customHeight="1"/>
    <row r="11" ht="18" customHeight="1">
      <c r="B11" s="50" t="inlineStr">
        <is>
          <t>Component</t>
        </is>
      </c>
      <c r="C11" s="50" t="inlineStr">
        <is>
          <t>Score (0-100)</t>
        </is>
      </c>
      <c r="D11" s="50" t="inlineStr">
        <is>
          <t>Weight</t>
        </is>
      </c>
      <c r="E11" s="50" t="inlineStr">
        <is>
          <t>Weighted Contribution</t>
        </is>
      </c>
    </row>
    <row r="12">
      <c r="B12" s="30" t="n"/>
      <c r="C12" s="30" t="n"/>
      <c r="D12" s="30" t="n"/>
      <c r="E12" s="30" t="n"/>
    </row>
    <row r="14">
      <c r="B14" s="37" t="inlineStr">
        <is>
          <t>COMPONENT SCORES  (formulas — do not edit; change weights on 15_Settings instead)</t>
        </is>
      </c>
    </row>
    <row r="15">
      <c r="B15" s="24" t="inlineStr">
        <is>
          <t>Revenue Growth</t>
        </is>
      </c>
      <c r="C15" s="63">
        <f>MIN(100,MAX(0,50+CUBEVALUE("ThisWorkbookDataModel","[Measures].[Revenue Growth % (YoY)]")*250))</f>
        <v/>
      </c>
      <c r="D15" s="24">
        <f>INDEX(tbl_HealthScoreWeights[Weight],MATCH(B15,tbl_HealthScoreWeights[Component],0))</f>
        <v/>
      </c>
      <c r="E15" s="64">
        <f>C15*D15</f>
        <v/>
      </c>
    </row>
    <row r="16">
      <c r="B16" s="24" t="inlineStr">
        <is>
          <t>Gross Margin</t>
        </is>
      </c>
      <c r="C16" s="63">
        <f>MIN(100,MAX(0,IFERROR(CUBEVALUE("ThisWorkbookDataModel","[Measures].[Gross Margin %]")/CUBEVALUE("ThisWorkbookDataModel","[Measures].[Margin Target]")*100,0)))</f>
        <v/>
      </c>
      <c r="D16" s="24">
        <f>INDEX(tbl_HealthScoreWeights[Weight],MATCH(B16,tbl_HealthScoreWeights[Component],0))</f>
        <v/>
      </c>
      <c r="E16" s="64">
        <f>C16*D16</f>
        <v/>
      </c>
    </row>
    <row r="17">
      <c r="B17" s="24" t="inlineStr">
        <is>
          <t>Cash Position</t>
        </is>
      </c>
      <c r="C17" s="63">
        <f>MIN(100,MAX(0,IFERROR(CUBEVALUE("ThisWorkbookDataModel","[Measures].[Cash Position (Direct, Cumulative)]")/CUBEVALUE("ThisWorkbookDataModel","[Measures].[Expense Budget (Period)]")*100,0)))</f>
        <v/>
      </c>
      <c r="D17" s="24">
        <f>INDEX(tbl_HealthScoreWeights[Weight],MATCH(B17,tbl_HealthScoreWeights[Component],0))</f>
        <v/>
      </c>
      <c r="E17" s="64">
        <f>C17*D17</f>
        <v/>
      </c>
    </row>
    <row r="18">
      <c r="B18" s="24" t="inlineStr">
        <is>
          <t>Inventory Health</t>
        </is>
      </c>
      <c r="C18" s="63">
        <f>MIN(100,MAX(0,IFERROR(CUBEVALUE("ThisWorkbookDataModel","[Measures].[Inventory Turnover]")/CUBEVALUE("ThisWorkbookDataModel","[Measures].[Inventory Turnover Target]")*100,0)))</f>
        <v/>
      </c>
      <c r="D18" s="24">
        <f>INDEX(tbl_HealthScoreWeights[Weight],MATCH(B18,tbl_HealthScoreWeights[Component],0))</f>
        <v/>
      </c>
      <c r="E18" s="64">
        <f>C18*D18</f>
        <v/>
      </c>
    </row>
    <row r="19">
      <c r="B19" s="24" t="inlineStr">
        <is>
          <t>Customer Growth</t>
        </is>
      </c>
      <c r="C19" s="63">
        <f>MIN(100,MAX(0,50+CUBEVALUE("ThisWorkbookDataModel","[Measures].[Customer Growth % (YoY)]")*250))</f>
        <v/>
      </c>
      <c r="D19" s="24">
        <f>INDEX(tbl_HealthScoreWeights[Weight],MATCH(B19,tbl_HealthScoreWeights[Component],0))</f>
        <v/>
      </c>
      <c r="E19" s="64">
        <f>C19*D19</f>
        <v/>
      </c>
    </row>
    <row r="20">
      <c r="B20" s="24" t="inlineStr">
        <is>
          <t>Repeat Customers</t>
        </is>
      </c>
      <c r="C20" s="63">
        <f>MIN(100,MAX(0,IFERROR(CUBEVALUE("ThisWorkbookDataModel","[Measures].[Repeat Customer % Actual]")/CUBEVALUE("ThisWorkbookDataModel","[Measures].[Repeat Customer % Target]")*100,0)))</f>
        <v/>
      </c>
      <c r="D20" s="24">
        <f>INDEX(tbl_HealthScoreWeights[Weight],MATCH(B20,tbl_HealthScoreWeights[Component],0))</f>
        <v/>
      </c>
      <c r="E20" s="64">
        <f>C20*D20</f>
        <v/>
      </c>
    </row>
    <row r="21">
      <c r="B21" s="24" t="inlineStr">
        <is>
          <t>Return Rate</t>
        </is>
      </c>
      <c r="C21" s="63">
        <f>MIN(100,MAX(0,100-CUBEVALUE("ThisWorkbookDataModel","[Measures].[Return Rate %]")*1000))</f>
        <v/>
      </c>
      <c r="D21" s="24">
        <f>INDEX(tbl_HealthScoreWeights[Weight],MATCH(B21,tbl_HealthScoreWeights[Component],0))</f>
        <v/>
      </c>
      <c r="E21" s="64">
        <f>C21*D21</f>
        <v/>
      </c>
    </row>
    <row r="22">
      <c r="B22" s="24" t="inlineStr">
        <is>
          <t>Budget Performance</t>
        </is>
      </c>
      <c r="C22" s="63">
        <f>MIN(100,MAX(0,100-ABS(IFERROR(CUBEVALUE("ThisWorkbookDataModel","[Measures].[Expense Actual vs Budget]")/CUBEVALUE("ThisWorkbookDataModel","[Measures].[Expense Budget (Period)]"),0))*100))</f>
        <v/>
      </c>
      <c r="D22" s="24">
        <f>INDEX(tbl_HealthScoreWeights[Weight],MATCH(B22,tbl_HealthScoreWeights[Component],0))</f>
        <v/>
      </c>
      <c r="E22" s="64">
        <f>C22*D22</f>
        <v/>
      </c>
    </row>
    <row r="23">
      <c r="B23" s="24" t="inlineStr">
        <is>
          <t>Data Quality</t>
        </is>
      </c>
      <c r="C23" s="63">
        <f>MIN(100,MAX(0,OverallDataQualityPct*100))</f>
        <v/>
      </c>
      <c r="D23" s="24">
        <f>INDEX(tbl_HealthScoreWeights[Weight],MATCH(B23,tbl_HealthScoreWeights[Component],0))</f>
        <v/>
      </c>
      <c r="E23" s="64">
        <f>C23*D23</f>
        <v/>
      </c>
    </row>
    <row r="24">
      <c r="B24" s="24" t="inlineStr">
        <is>
          <t>Alerts</t>
        </is>
      </c>
      <c r="C24" s="63">
        <f>MIN(100,MAX(0,100-COUNTIF('BI_Alerts'!E15:E26,"TRIGGERED*")*(100/12)))</f>
        <v/>
      </c>
      <c r="D24" s="24">
        <f>INDEX(tbl_HealthScoreWeights[Weight],MATCH(B24,tbl_HealthScoreWeights[Component],0))</f>
        <v/>
      </c>
      <c r="E24" s="64">
        <f>C24*D24</f>
        <v/>
      </c>
    </row>
    <row r="26">
      <c r="B26" s="38" t="inlineStr">
        <is>
          <t>TOTAL BUSINESS HEALTH SCORE</t>
        </is>
      </c>
      <c r="C26" s="65">
        <f>SUM(E15:E24)/SUM(D15:D24)</f>
        <v/>
      </c>
    </row>
    <row r="27">
      <c r="B27" s="16" t="inlineStr">
        <is>
          <t>Status (Red &lt; 50, Amber 50-75, Green &gt; 75)</t>
        </is>
      </c>
      <c r="C27" s="66">
        <f>IF(C26&gt;75,"GREEN",IF(C26&gt;=50,"AMBER","RED"))</f>
        <v/>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B8:E8"/>
    <mergeCell ref="B4:E4"/>
    <mergeCell ref="A2:E2"/>
    <mergeCell ref="B6:E6"/>
    <mergeCell ref="B7:E7"/>
    <mergeCell ref="A1:E1"/>
    <mergeCell ref="B5:E5"/>
    <mergeCell ref="A3:E3"/>
  </mergeCells>
  <hyperlinks>
    <hyperlink xmlns:r="http://schemas.openxmlformats.org/officeDocument/2006/relationships" ref="A2" r:id="rId1"/>
  </hyperlinks>
  <pageMargins left="0.75" right="0.75" top="1" bottom="1" header="0.5" footer="0.5"/>
  <tableParts count="1">
    <tablePart xmlns:r="http://schemas.openxmlformats.org/officeDocument/2006/relationships" r:id="rId2"/>
  </tableParts>
</worksheet>
</file>

<file path=xl/worksheets/sheet57.xml><?xml version="1.0" encoding="utf-8"?>
<worksheet xmlns="http://schemas.openxmlformats.org/spreadsheetml/2006/main">
  <sheetPr>
    <tabColor rgb="0031859B"/>
    <outlinePr applyStyles="1" summaryBelow="0" summaryRight="1"/>
    <pageSetUpPr fitToPage="1"/>
  </sheetPr>
  <dimension ref="A1:K37"/>
  <sheetViews>
    <sheetView showGridLines="0" workbookViewId="0">
      <pane ySplit="10" topLeftCell="A11" activePane="bottomLeft" state="frozen"/>
      <selection pane="bottomLeft" activeCell="A1" sqref="A1"/>
    </sheetView>
  </sheetViews>
  <sheetFormatPr baseColWidth="8" defaultRowHeight="15"/>
  <cols>
    <col width="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34" customHeight="1">
      <c r="A1" s="1" t="inlineStr">
        <is>
          <t>Daily Executive Brief</t>
        </is>
      </c>
    </row>
    <row r="2" ht="16" customHeight="1">
      <c r="A2" s="17" t="inlineStr">
        <is>
          <t>PASSRESS MIS   |   Home ▸ Daily Executive Brief</t>
        </is>
      </c>
    </row>
    <row r="3" ht="14" customHeight="1">
      <c r="A3" s="3" t="inlineStr">
        <is>
          <t>Sheet Documentation  (use the  +  outline control at left to expand)</t>
        </is>
      </c>
    </row>
    <row r="4" hidden="1" outlineLevel="1" ht="13" customHeight="1">
      <c r="A4" s="4" t="inlineStr">
        <is>
          <t>Purpose</t>
        </is>
      </c>
      <c r="B4" s="5" t="inlineStr">
        <is>
          <t>One-page, auto-summarized snapshot of today's business — printable as-is, no editing or slicers, suitable to hand a partner without walking them through the workbook.</t>
        </is>
      </c>
    </row>
    <row r="5" hidden="1" outlineLevel="1" ht="13" customHeight="1">
      <c r="A5" s="4" t="inlineStr">
        <is>
          <t>Input tables</t>
        </is>
      </c>
      <c r="B5" s="5" t="inlineStr">
        <is>
          <t>The Data Model via CUBEVALUE/CUBESET; BI_HealthScore; BI_Alerts; BI_Insights.</t>
        </is>
      </c>
    </row>
    <row r="6" hidden="1" outlineLevel="1" ht="13" customHeight="1">
      <c r="A6" s="4" t="inlineStr">
        <is>
          <t>Output tables</t>
        </is>
      </c>
      <c r="B6" s="5" t="inlineStr">
        <is>
          <t>A single printable A4 page.</t>
        </is>
      </c>
    </row>
    <row r="7" hidden="1" outlineLevel="1" ht="13" customHeight="1">
      <c r="A7" s="4" t="inlineStr">
        <is>
          <t>Relationships</t>
        </is>
      </c>
      <c r="B7" s="5" t="inlineStr">
        <is>
          <t>Reads the Data Model and the BI_ sheets directly — this page computes nothing new itself.</t>
        </is>
      </c>
    </row>
    <row r="8" hidden="1" outlineLevel="1" ht="13" customHeight="1">
      <c r="A8" s="4" t="inlineStr">
        <is>
          <t>Future data source</t>
        </is>
      </c>
      <c r="B8" s="5" t="inlineStr">
        <is>
          <t>Already live: resolves for real once the Data Model + measures are wired.</t>
        </is>
      </c>
    </row>
    <row r="9" hidden="1" outlineLevel="1"/>
    <row r="10" ht="6" customHeight="1"/>
    <row r="11">
      <c r="B11" s="6" t="inlineStr">
        <is>
          <t>REVENUE TODAY</t>
        </is>
      </c>
      <c r="C11" s="6" t="inlineStr">
        <is>
          <t>ORDERS TODAY</t>
        </is>
      </c>
      <c r="D11" s="6" t="inlineStr">
        <is>
          <t>GROSS PROFIT</t>
        </is>
      </c>
      <c r="E11" s="6" t="inlineStr">
        <is>
          <t>MARGIN %</t>
        </is>
      </c>
      <c r="F11" s="6" t="inlineStr">
        <is>
          <t>CASH POSITION</t>
        </is>
      </c>
      <c r="G11" s="6" t="inlineStr">
        <is>
          <t>INVENTORY VALUE</t>
        </is>
      </c>
    </row>
    <row r="12">
      <c r="B12" s="67">
        <f>CUBEVALUE("ThisWorkbookDataModel","[Measures].[Net Sales]","[DIM_Date].[Year].&amp;["&amp;YEAR(TODAY())&amp;"]","[DIM_Date].[Month].&amp;["&amp;MONTH(TODAY())&amp;"]","[DIM_Date].[Day].&amp;["&amp;DAY(TODAY())&amp;"]")</f>
        <v/>
      </c>
      <c r="C12" s="67">
        <f>CUBEVALUE("ThisWorkbookDataModel","[Measures].[Order Count]","[DIM_Date].[Year].&amp;["&amp;YEAR(TODAY())&amp;"]","[DIM_Date].[Month].&amp;["&amp;MONTH(TODAY())&amp;"]","[DIM_Date].[Day].&amp;["&amp;DAY(TODAY())&amp;"]")</f>
        <v/>
      </c>
      <c r="D12" s="67">
        <f>CUBEVALUE("ThisWorkbookDataModel","[Measures].[Gross Profit]","[DIM_Date].[Year].&amp;["&amp;YEAR(TODAY())&amp;"]","[DIM_Date].[Month].&amp;["&amp;MONTH(TODAY())&amp;"]","[DIM_Date].[Day].&amp;["&amp;DAY(TODAY())&amp;"]")</f>
        <v/>
      </c>
      <c r="E12" s="68">
        <f>CUBEVALUE("ThisWorkbookDataModel","[Measures].[Gross Margin %]","[DIM_Date].[Year].&amp;["&amp;YEAR(TODAY())&amp;"]","[DIM_Date].[Month].&amp;["&amp;MONTH(TODAY())&amp;"]","[DIM_Date].[Day].&amp;["&amp;DAY(TODAY())&amp;"]")</f>
        <v/>
      </c>
      <c r="F12" s="67">
        <f>CUBEVALUE("ThisWorkbookDataModel","[Measures].[Cash Position (Direct, Cumulative)]")</f>
        <v/>
      </c>
      <c r="G12" s="67">
        <f>CUBEVALUE("ThisWorkbookDataModel","[Measures].[Inventory Value]")</f>
        <v/>
      </c>
    </row>
    <row r="13">
      <c r="B13" s="7" t="n"/>
      <c r="C13" s="7" t="n"/>
      <c r="D13" s="7" t="n"/>
      <c r="E13" s="7" t="n"/>
      <c r="F13" s="7" t="n"/>
      <c r="G13" s="7" t="n"/>
    </row>
    <row r="15">
      <c r="B15" s="37" t="inlineStr">
        <is>
          <t>Revenue vs Yesterday</t>
        </is>
      </c>
    </row>
    <row r="16">
      <c r="B16" s="69">
        <f>IFERROR(CUBEVALUE("ThisWorkbookDataModel","[Measures].[Net Sales]","[DIM_Date].[Year].&amp;["&amp;YEAR(TODAY())&amp;"]","[DIM_Date].[Month].&amp;["&amp;MONTH(TODAY())&amp;"]","[DIM_Date].[Day].&amp;["&amp;DAY(TODAY())&amp;"]")-CUBEVALUE("ThisWorkbookDataModel","[Measures].[Net Sales]","[DIM_Date].[Year].&amp;["&amp;YEAR(TODAY()-1)&amp;"]","[DIM_Date].[Month].&amp;["&amp;MONTH(TODAY()-1)&amp;"]","[DIM_Date].[Day].&amp;["&amp;DAY(TODAY()-1)&amp;"]"),0)</f>
        <v/>
      </c>
      <c r="C16" s="70">
        <f>IF(B16&gt;=0,"▲ Increase","▼ Decrease")</f>
        <v/>
      </c>
    </row>
    <row r="18">
      <c r="B18" s="11" t="inlineStr">
        <is>
          <t>TOP 5 PRODUCTS</t>
        </is>
      </c>
      <c r="G18" s="11" t="inlineStr">
        <is>
          <t>TOP 5 COLLECTIONS</t>
        </is>
      </c>
    </row>
    <row r="19">
      <c r="B19" s="11" t="inlineStr">
        <is>
          <t>Top 5 Products (Brief)</t>
        </is>
      </c>
      <c r="F19" s="23">
        <f>CUBESET("ThisWorkbookDataModel","{[DIM_Product].[Title].Children}","Top 5 Products (Brief)","BDESC","[Measures].[Net Sales]")</f>
        <v/>
      </c>
      <c r="G19" s="11" t="inlineStr">
        <is>
          <t>Top 5 Collections (Brief)</t>
        </is>
      </c>
      <c r="K19" s="23">
        <f>CUBESET("ThisWorkbookDataModel","{[DIM_Collection].[Title].Children}","Top 5 Collections (Brief)","BDESC","[Measures].[Net Sales]")</f>
        <v/>
      </c>
    </row>
    <row r="20">
      <c r="B20" s="24">
        <f>CUBERANKEDMEMBER("ThisWorkbookDataModel",$F$19,1)</f>
        <v/>
      </c>
      <c r="D20" s="25">
        <f>CUBEVALUE("ThisWorkbookDataModel","[Measures].[Net Sales]",CUBERANKEDMEMBER("ThisWorkbookDataModel",$F$19,1))</f>
        <v/>
      </c>
      <c r="G20" s="24">
        <f>CUBERANKEDMEMBER("ThisWorkbookDataModel",$K$19,1)</f>
        <v/>
      </c>
      <c r="I20" s="25">
        <f>CUBEVALUE("ThisWorkbookDataModel","[Measures].[Net Sales]",CUBERANKEDMEMBER("ThisWorkbookDataModel",$K$19,1))</f>
        <v/>
      </c>
    </row>
    <row r="21">
      <c r="B21" s="24">
        <f>CUBERANKEDMEMBER("ThisWorkbookDataModel",$F$19,2)</f>
        <v/>
      </c>
      <c r="D21" s="25">
        <f>CUBEVALUE("ThisWorkbookDataModel","[Measures].[Net Sales]",CUBERANKEDMEMBER("ThisWorkbookDataModel",$F$19,2))</f>
        <v/>
      </c>
      <c r="G21" s="24">
        <f>CUBERANKEDMEMBER("ThisWorkbookDataModel",$K$19,2)</f>
        <v/>
      </c>
      <c r="I21" s="25">
        <f>CUBEVALUE("ThisWorkbookDataModel","[Measures].[Net Sales]",CUBERANKEDMEMBER("ThisWorkbookDataModel",$K$19,2))</f>
        <v/>
      </c>
    </row>
    <row r="22">
      <c r="B22" s="24">
        <f>CUBERANKEDMEMBER("ThisWorkbookDataModel",$F$19,3)</f>
        <v/>
      </c>
      <c r="D22" s="25">
        <f>CUBEVALUE("ThisWorkbookDataModel","[Measures].[Net Sales]",CUBERANKEDMEMBER("ThisWorkbookDataModel",$F$19,3))</f>
        <v/>
      </c>
      <c r="G22" s="24">
        <f>CUBERANKEDMEMBER("ThisWorkbookDataModel",$K$19,3)</f>
        <v/>
      </c>
      <c r="I22" s="25">
        <f>CUBEVALUE("ThisWorkbookDataModel","[Measures].[Net Sales]",CUBERANKEDMEMBER("ThisWorkbookDataModel",$K$19,3))</f>
        <v/>
      </c>
    </row>
    <row r="23">
      <c r="B23" s="24">
        <f>CUBERANKEDMEMBER("ThisWorkbookDataModel",$F$19,4)</f>
        <v/>
      </c>
      <c r="D23" s="25">
        <f>CUBEVALUE("ThisWorkbookDataModel","[Measures].[Net Sales]",CUBERANKEDMEMBER("ThisWorkbookDataModel",$F$19,4))</f>
        <v/>
      </c>
      <c r="G23" s="24">
        <f>CUBERANKEDMEMBER("ThisWorkbookDataModel",$K$19,4)</f>
        <v/>
      </c>
      <c r="I23" s="25">
        <f>CUBEVALUE("ThisWorkbookDataModel","[Measures].[Net Sales]",CUBERANKEDMEMBER("ThisWorkbookDataModel",$K$19,4))</f>
        <v/>
      </c>
    </row>
    <row r="24">
      <c r="B24" s="24">
        <f>CUBERANKEDMEMBER("ThisWorkbookDataModel",$F$19,5)</f>
        <v/>
      </c>
      <c r="D24" s="25">
        <f>CUBEVALUE("ThisWorkbookDataModel","[Measures].[Net Sales]",CUBERANKEDMEMBER("ThisWorkbookDataModel",$F$19,5))</f>
        <v/>
      </c>
      <c r="G24" s="24">
        <f>CUBERANKEDMEMBER("ThisWorkbookDataModel",$K$19,5)</f>
        <v/>
      </c>
      <c r="I24" s="25">
        <f>CUBEVALUE("ThisWorkbookDataModel","[Measures].[Net Sales]",CUBERANKEDMEMBER("ThisWorkbookDataModel",$K$19,5))</f>
        <v/>
      </c>
    </row>
    <row r="26">
      <c r="B26" s="11" t="inlineStr">
        <is>
          <t>CRITICAL ALERTS</t>
        </is>
      </c>
    </row>
    <row r="27">
      <c r="B27" s="71" t="inlineStr">
        <is>
          <t>Negative Margin</t>
        </is>
      </c>
      <c r="D27" s="53">
        <f>'BI_Alerts'!E16</f>
        <v/>
      </c>
    </row>
    <row r="28">
      <c r="B28" s="71" t="inlineStr">
        <is>
          <t>Missing Shopify Sync</t>
        </is>
      </c>
      <c r="D28" s="53">
        <f>'BI_Alerts'!E24</f>
        <v/>
      </c>
    </row>
    <row r="30">
      <c r="B30" s="11" t="inlineStr">
        <is>
          <t>BUSINESS HEALTH SCORE</t>
        </is>
      </c>
    </row>
    <row r="31">
      <c r="B31" s="72">
        <f>BusinessHealthScore</f>
        <v/>
      </c>
      <c r="D31" s="73">
        <f>BusinessHealthStatus</f>
        <v/>
      </c>
    </row>
    <row r="33">
      <c r="B33" s="11" t="inlineStr">
        <is>
          <t>EXECUTIVE COMMENTARY</t>
        </is>
      </c>
    </row>
    <row r="34" ht="16" customHeight="1">
      <c r="B34" s="26">
        <f>"•  "&amp;IFERROR('BI_Insights'!D15,"(resolves once Data Model is wired)")</f>
        <v/>
      </c>
    </row>
    <row r="35" ht="16" customHeight="1">
      <c r="B35" s="26">
        <f>"•  "&amp;IFERROR('BI_Insights'!D16,"(resolves once Data Model is wired)")</f>
        <v/>
      </c>
    </row>
    <row r="36" ht="16" customHeight="1">
      <c r="B36" s="26">
        <f>"•  "&amp;IFERROR('BI_Insights'!D19,"(resolves once Data Model is wired)")</f>
        <v/>
      </c>
    </row>
    <row r="37" ht="16" customHeight="1">
      <c r="B37" s="26">
        <f>"•  "&amp;IFERROR('BI_Insights'!D20,"(resolves once Data Model is wired)")</f>
        <v/>
      </c>
    </row>
  </sheetData>
  <sheetProtection selectLockedCells="0" selectUnlockedCells="0" sheet="1" objects="0" insertRows="0" insertHyperlinks="1" autoFilter="1" scenarios="0" formatColumns="0" deleteColumns="0" insertColumns="0" pivotTables="0" deleteRows="0" formatCells="0" formatRows="0" sort="1" password="C24F"/>
  <mergeCells count="18">
    <mergeCell ref="B7:J7"/>
    <mergeCell ref="A1:J1"/>
    <mergeCell ref="B5:J5"/>
    <mergeCell ref="B34:J34"/>
    <mergeCell ref="B37:J37"/>
    <mergeCell ref="B12:B13"/>
    <mergeCell ref="E12:E13"/>
    <mergeCell ref="C12:C13"/>
    <mergeCell ref="B36:J36"/>
    <mergeCell ref="A3:J3"/>
    <mergeCell ref="F12:F13"/>
    <mergeCell ref="G12:G13"/>
    <mergeCell ref="B8:J8"/>
    <mergeCell ref="B35:J35"/>
    <mergeCell ref="B4:J4"/>
    <mergeCell ref="A2:J2"/>
    <mergeCell ref="D12:D13"/>
    <mergeCell ref="B6:J6"/>
  </mergeCells>
  <hyperlinks>
    <hyperlink xmlns:r="http://schemas.openxmlformats.org/officeDocument/2006/relationships" ref="A2" r:id="rId1"/>
  </hyperlinks>
  <pageMargins left="0.3" right="0.3" top="0.4" bottom="0.4" header="0.5" footer="0.5"/>
  <pageSetup orientation="portrait" paperSize="9" fitToHeight="1" fitToWidth="1"/>
</worksheet>
</file>

<file path=xl/worksheets/sheet58.xml><?xml version="1.0" encoding="utf-8"?>
<worksheet xmlns="http://schemas.openxmlformats.org/spreadsheetml/2006/main">
  <sheetPr>
    <tabColor rgb="0031859B"/>
    <outlinePr applyStyles="1" summaryBelow="0" summaryRight="1"/>
    <pageSetUpPr fitToPage="1"/>
  </sheetPr>
  <dimension ref="A1:N36"/>
  <sheetViews>
    <sheetView showGridLines="0" workbookViewId="0">
      <pane ySplit="10" topLeftCell="A11" activePane="bottomLeft" state="frozen"/>
      <selection pane="bottomLeft" activeCell="A1" sqref="A1"/>
    </sheetView>
  </sheetViews>
  <sheetFormatPr baseColWidth="8" defaultRowHeight="15"/>
  <cols>
    <col width="3" customWidth="1" min="1" max="1"/>
    <col width="16" customWidth="1" min="2" max="2"/>
    <col width="16" customWidth="1" min="3" max="3"/>
    <col width="16" customWidth="1" min="4" max="4"/>
  </cols>
  <sheetData>
    <row r="1" ht="34" customHeight="1">
      <c r="A1" s="1" t="inlineStr">
        <is>
          <t>RPT_Workflow</t>
        </is>
      </c>
    </row>
    <row r="2" ht="16" customHeight="1">
      <c r="A2" s="17" t="inlineStr">
        <is>
          <t>PASSRESS MIS   |   Home ▸ RPT_Workflow</t>
        </is>
      </c>
    </row>
    <row r="3" ht="14" customHeight="1">
      <c r="A3" s="3" t="inlineStr">
        <is>
          <t>Sheet Documentation  (use the  +  outline control at left to expand)</t>
        </is>
      </c>
    </row>
    <row r="4" hidden="1" outlineLevel="1" ht="13" customHeight="1">
      <c r="A4" s="4" t="inlineStr">
        <is>
          <t>Purpose</t>
        </is>
      </c>
      <c r="B4" s="5" t="inlineStr">
        <is>
          <t>Operational workflow view: purchasing pipeline, order fulfillment status, supplier standing, and cash/expense runway — the day-to-day ops picture, distinct from the financial-statement framing of 08_Finance or the executive framing of the CEO Dashboard.</t>
        </is>
      </c>
    </row>
    <row r="5" hidden="1" outlineLevel="1" ht="13" customHeight="1">
      <c r="A5" s="4" t="inlineStr">
        <is>
          <t>Input tables</t>
        </is>
      </c>
      <c r="B5" s="5" t="inlineStr">
        <is>
          <t>tbl_POHeader/tbl_POLines/tbl_GoodsReceipt (12_Suppliers), tbl_SupplierMaster, RAW_Orders, the Data Model via CUBEVALUE.</t>
        </is>
      </c>
    </row>
    <row r="6" hidden="1" outlineLevel="1" ht="13" customHeight="1">
      <c r="A6" s="4" t="inlineStr">
        <is>
          <t>Output tables</t>
        </is>
      </c>
      <c r="B6" s="5" t="inlineStr">
        <is>
          <t>A single operational dashboard page.</t>
        </is>
      </c>
    </row>
    <row r="7" hidden="1" outlineLevel="1" ht="13" customHeight="1">
      <c r="A7" s="4" t="inlineStr">
        <is>
          <t>Relationships</t>
        </is>
      </c>
      <c r="B7" s="5" t="inlineStr">
        <is>
          <t>No new relationships — reads existing Phase 3 tables and Phase 4/5 measures directly.</t>
        </is>
      </c>
    </row>
    <row r="8" hidden="1" outlineLevel="1" ht="13" customHeight="1">
      <c r="A8" s="4" t="inlineStr">
        <is>
          <t>Future data source</t>
        </is>
      </c>
      <c r="B8" s="5" t="inlineStr">
        <is>
          <t>Already live: resolves for real once Power Query (Phase 2) and the Data Model (Phase 4) are wired.</t>
        </is>
      </c>
    </row>
    <row r="9" hidden="1" outlineLevel="1"/>
    <row r="10" ht="6" customHeight="1"/>
    <row r="11" ht="18" customHeight="1">
      <c r="B11" s="50" t="inlineStr">
        <is>
          <t>Metric</t>
        </is>
      </c>
      <c r="C11" s="50" t="inlineStr">
        <is>
          <t>Value</t>
        </is>
      </c>
      <c r="D11" s="50" t="inlineStr">
        <is>
          <t>Notes</t>
        </is>
      </c>
    </row>
    <row r="12">
      <c r="B12" s="30" t="n"/>
      <c r="C12" s="30" t="n"/>
      <c r="D12" s="30" t="n"/>
    </row>
    <row r="14">
      <c r="B14" s="11" t="inlineStr">
        <is>
          <t>PURCHASING &amp; RECEIVING</t>
        </is>
      </c>
    </row>
    <row r="15">
      <c r="B15" s="24" t="inlineStr">
        <is>
          <t>Purchase Orders (Total)</t>
        </is>
      </c>
      <c r="C15" s="53">
        <f>COUNTA(tbl_POHeader[PO Number])</f>
        <v/>
      </c>
      <c r="D15" s="20" t="inlineStr">
        <is>
          <t>All POs ever entered, any status.</t>
        </is>
      </c>
    </row>
    <row r="16">
      <c r="B16" s="24" t="inlineStr">
        <is>
          <t>Open Orders</t>
        </is>
      </c>
      <c r="C16" s="53">
        <f>COUNTIFS(tbl_RAW_Orders[FulfillmentStatus],"&lt;&gt;FULFILLED")</f>
        <v/>
      </c>
      <c r="D16" s="20" t="inlineStr">
        <is>
          <t>Shopify orders not yet fully fulfilled.</t>
        </is>
      </c>
    </row>
    <row r="17">
      <c r="B17" s="24" t="inlineStr">
        <is>
          <t>Pending Receipts</t>
        </is>
      </c>
      <c r="C17" s="53">
        <f>COUNTIFS(tbl_POHeader[Status],"Approved")+COUNTIFS(tbl_POHeader[Status],"Sent")+COUNTIFS(tbl_POHeader[Status],"Partially Received")</f>
        <v/>
      </c>
      <c r="D17" s="20" t="inlineStr">
        <is>
          <t>POs Approved, Sent, or Partially Received — not yet fully in hand.</t>
        </is>
      </c>
    </row>
    <row r="18">
      <c r="B18" s="24" t="inlineStr">
        <is>
          <t>Inventory to Receive (units)</t>
        </is>
      </c>
      <c r="C18" s="53">
        <f>SUM(tbl_GoodsReceipt[Remaining Quantity])</f>
        <v/>
      </c>
      <c r="D18" s="20" t="inlineStr">
        <is>
          <t>Reuses Phase 3's own Remaining Quantity column (12_Suppliers) — not recomputed here.</t>
        </is>
      </c>
    </row>
    <row r="19">
      <c r="B19" s="24" t="inlineStr">
        <is>
          <t>Monthly Purchasing (this month)</t>
        </is>
      </c>
      <c r="C19" s="53">
        <f>CUBEVALUE("ThisWorkbookDataModel","[Measures].[Cash Paid for Purchases]")</f>
        <v/>
      </c>
      <c r="D19" s="20" t="inlineStr">
        <is>
          <t>Current-period Cash Paid for Purchases (dax/MEASURES.md).</t>
        </is>
      </c>
    </row>
    <row r="22">
      <c r="B22" s="11" t="inlineStr">
        <is>
          <t>SUPPLIER STATUS</t>
        </is>
      </c>
    </row>
    <row r="23">
      <c r="B23" s="24" t="inlineStr">
        <is>
          <t>Active</t>
        </is>
      </c>
      <c r="C23" s="53">
        <f>COUNTIFS(tbl_SupplierMaster[Status],"Active")</f>
        <v/>
      </c>
    </row>
    <row r="24">
      <c r="B24" s="24" t="inlineStr">
        <is>
          <t>Inactive</t>
        </is>
      </c>
      <c r="C24" s="53">
        <f>COUNTIFS(tbl_SupplierMaster[Status],"Inactive")</f>
        <v/>
      </c>
    </row>
    <row r="25">
      <c r="B25" s="24" t="inlineStr">
        <is>
          <t>On Hold</t>
        </is>
      </c>
      <c r="C25" s="53">
        <f>COUNTIFS(tbl_SupplierMaster[Status],"On Hold")</f>
        <v/>
      </c>
    </row>
    <row r="28">
      <c r="B28" s="11" t="inlineStr">
        <is>
          <t>CASH &amp; EXPENSES</t>
        </is>
      </c>
    </row>
    <row r="29">
      <c r="B29" s="24" t="inlineStr">
        <is>
          <t>Capital Remaining</t>
        </is>
      </c>
      <c r="C29" s="53">
        <f>CUBEVALUE("ThisWorkbookDataModel","[Measures].[Cash Position (Direct, Cumulative)]")</f>
        <v/>
      </c>
      <c r="D29" s="20" t="inlineStr">
        <is>
          <t>Same figure as Cash Position elsewhere — "remaining" is a workflow-page label, not a different calculation.</t>
        </is>
      </c>
    </row>
    <row r="30">
      <c r="B30" s="24" t="inlineStr">
        <is>
          <t>Outstanding Expenses</t>
        </is>
      </c>
      <c r="C30" s="53">
        <f>CUBEVALUE("ThisWorkbookDataModel","[Measures].[Accounts Payable (Proxy)]")</f>
        <v/>
      </c>
      <c r="D30" s="20" t="inlineStr">
        <is>
          <t>Reuses the Balance Sheet's Accounts Payable proxy (dax/MEASURES.md §2) — same documented limitation applies (no payment-status field exists).</t>
        </is>
      </c>
    </row>
    <row r="33">
      <c r="B33" s="11" t="inlineStr">
        <is>
          <t>MONTHLY PURCHASING — TRAILING 12 MONTHS</t>
        </is>
      </c>
    </row>
    <row r="34">
      <c r="B34" s="13" t="inlineStr">
        <is>
          <t>Monthly Purchasing</t>
        </is>
      </c>
    </row>
    <row r="35">
      <c r="C35" s="21">
        <f>TEXT(EDATE(TODAY(),-11),"mmm-yy")</f>
        <v/>
      </c>
      <c r="D35" s="21">
        <f>TEXT(EDATE(TODAY(),-10),"mmm-yy")</f>
        <v/>
      </c>
      <c r="E35" s="21">
        <f>TEXT(EDATE(TODAY(),-9),"mmm-yy")</f>
        <v/>
      </c>
      <c r="F35" s="21">
        <f>TEXT(EDATE(TODAY(),-8),"mmm-yy")</f>
        <v/>
      </c>
      <c r="G35" s="21">
        <f>TEXT(EDATE(TODAY(),-7),"mmm-yy")</f>
        <v/>
      </c>
      <c r="H35" s="21">
        <f>TEXT(EDATE(TODAY(),-6),"mmm-yy")</f>
        <v/>
      </c>
      <c r="I35" s="21">
        <f>TEXT(EDATE(TODAY(),-5),"mmm-yy")</f>
        <v/>
      </c>
      <c r="J35" s="21">
        <f>TEXT(EDATE(TODAY(),-4),"mmm-yy")</f>
        <v/>
      </c>
      <c r="K35" s="21">
        <f>TEXT(EDATE(TODAY(),-3),"mmm-yy")</f>
        <v/>
      </c>
      <c r="L35" s="21">
        <f>TEXT(EDATE(TODAY(),-2),"mmm-yy")</f>
        <v/>
      </c>
      <c r="M35" s="21">
        <f>TEXT(EDATE(TODAY(),-1),"mmm-yy")</f>
        <v/>
      </c>
      <c r="N35" s="21">
        <f>TEXT(EDATE(TODAY(),0),"mmm-yy")</f>
        <v/>
      </c>
    </row>
    <row r="36">
      <c r="C36" s="22">
        <f>CUBEVALUE("ThisWorkbookDataModel","[Measures].[Cash Paid for Purchases]","[DIM_Date].[Year].&amp;["&amp;YEAR(EDATE(TODAY(),-11))&amp;"]","[DIM_Date].[Month].&amp;["&amp;MONTH(EDATE(TODAY(),-11))&amp;"]")</f>
        <v/>
      </c>
      <c r="D36" s="22">
        <f>CUBEVALUE("ThisWorkbookDataModel","[Measures].[Cash Paid for Purchases]","[DIM_Date].[Year].&amp;["&amp;YEAR(EDATE(TODAY(),-10))&amp;"]","[DIM_Date].[Month].&amp;["&amp;MONTH(EDATE(TODAY(),-10))&amp;"]")</f>
        <v/>
      </c>
      <c r="E36" s="22">
        <f>CUBEVALUE("ThisWorkbookDataModel","[Measures].[Cash Paid for Purchases]","[DIM_Date].[Year].&amp;["&amp;YEAR(EDATE(TODAY(),-9))&amp;"]","[DIM_Date].[Month].&amp;["&amp;MONTH(EDATE(TODAY(),-9))&amp;"]")</f>
        <v/>
      </c>
      <c r="F36" s="22">
        <f>CUBEVALUE("ThisWorkbookDataModel","[Measures].[Cash Paid for Purchases]","[DIM_Date].[Year].&amp;["&amp;YEAR(EDATE(TODAY(),-8))&amp;"]","[DIM_Date].[Month].&amp;["&amp;MONTH(EDATE(TODAY(),-8))&amp;"]")</f>
        <v/>
      </c>
      <c r="G36" s="22">
        <f>CUBEVALUE("ThisWorkbookDataModel","[Measures].[Cash Paid for Purchases]","[DIM_Date].[Year].&amp;["&amp;YEAR(EDATE(TODAY(),-7))&amp;"]","[DIM_Date].[Month].&amp;["&amp;MONTH(EDATE(TODAY(),-7))&amp;"]")</f>
        <v/>
      </c>
      <c r="H36" s="22">
        <f>CUBEVALUE("ThisWorkbookDataModel","[Measures].[Cash Paid for Purchases]","[DIM_Date].[Year].&amp;["&amp;YEAR(EDATE(TODAY(),-6))&amp;"]","[DIM_Date].[Month].&amp;["&amp;MONTH(EDATE(TODAY(),-6))&amp;"]")</f>
        <v/>
      </c>
      <c r="I36" s="22">
        <f>CUBEVALUE("ThisWorkbookDataModel","[Measures].[Cash Paid for Purchases]","[DIM_Date].[Year].&amp;["&amp;YEAR(EDATE(TODAY(),-5))&amp;"]","[DIM_Date].[Month].&amp;["&amp;MONTH(EDATE(TODAY(),-5))&amp;"]")</f>
        <v/>
      </c>
      <c r="J36" s="22">
        <f>CUBEVALUE("ThisWorkbookDataModel","[Measures].[Cash Paid for Purchases]","[DIM_Date].[Year].&amp;["&amp;YEAR(EDATE(TODAY(),-4))&amp;"]","[DIM_Date].[Month].&amp;["&amp;MONTH(EDATE(TODAY(),-4))&amp;"]")</f>
        <v/>
      </c>
      <c r="K36" s="22">
        <f>CUBEVALUE("ThisWorkbookDataModel","[Measures].[Cash Paid for Purchases]","[DIM_Date].[Year].&amp;["&amp;YEAR(EDATE(TODAY(),-3))&amp;"]","[DIM_Date].[Month].&amp;["&amp;MONTH(EDATE(TODAY(),-3))&amp;"]")</f>
        <v/>
      </c>
      <c r="L36" s="22">
        <f>CUBEVALUE("ThisWorkbookDataModel","[Measures].[Cash Paid for Purchases]","[DIM_Date].[Year].&amp;["&amp;YEAR(EDATE(TODAY(),-2))&amp;"]","[DIM_Date].[Month].&amp;["&amp;MONTH(EDATE(TODAY(),-2))&amp;"]")</f>
        <v/>
      </c>
      <c r="M36" s="22">
        <f>CUBEVALUE("ThisWorkbookDataModel","[Measures].[Cash Paid for Purchases]","[DIM_Date].[Year].&amp;["&amp;YEAR(EDATE(TODAY(),-1))&amp;"]","[DIM_Date].[Month].&amp;["&amp;MONTH(EDATE(TODAY(),-1))&amp;"]")</f>
        <v/>
      </c>
      <c r="N36" s="22">
        <f>CUBEVALUE("ThisWorkbookDataModel","[Measures].[Cash Paid for Purchases]","[DIM_Date].[Year].&amp;["&amp;YEAR(EDATE(TODAY(),0))&amp;"]","[DIM_Date].[Month].&amp;["&amp;MONTH(EDATE(TODAY(),0))&amp;"]")</f>
        <v/>
      </c>
    </row>
  </sheetData>
  <sheetProtection selectLockedCells="0" selectUnlockedCells="0" sheet="1" objects="0" insertRows="0" insertHyperlinks="1" autoFilter="1" scenarios="0" formatColumns="0" deleteColumns="0" insertColumns="0" pivotTables="0" deleteRows="0" formatCells="0" formatRows="0" sort="1" password="C24F"/>
  <mergeCells count="8">
    <mergeCell ref="A1:D1"/>
    <mergeCell ref="B5:D5"/>
    <mergeCell ref="B8:D8"/>
    <mergeCell ref="A3:D3"/>
    <mergeCell ref="B4:D4"/>
    <mergeCell ref="A2:D2"/>
    <mergeCell ref="B7:D7"/>
    <mergeCell ref="B6:D6"/>
  </mergeCells>
  <hyperlinks>
    <hyperlink xmlns:r="http://schemas.openxmlformats.org/officeDocument/2006/relationships" ref="A2" r:id="rId1"/>
  </hyperlinks>
  <pageMargins left="0.3" right="0.3" top="0.4" bottom="0.4" header="0.5" footer="0.5"/>
  <pageSetup orientation="landscape" fitToHeight="0" fitToWidth="1"/>
  <drawing xmlns:r="http://schemas.openxmlformats.org/officeDocument/2006/relationships" r:id="rId2"/>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2026-08-01T14:10:52Z</dcterms:created>
  <dcterms:modified xsi:type="dcterms:W3CDTF">2026-08-01T14:10:53Z</dcterms:modified>
</cp:coreProperties>
</file>