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2.xml" ContentType="application/vnd.openxmlformats-officedocument.spreadsheetml.table+xml"/>
  <Override PartName="/xl/worksheets/sheet11.xml" ContentType="application/vnd.openxmlformats-officedocument.spreadsheetml.worksheet+xml"/>
  <Override PartName="/xl/tables/table3.xml" ContentType="application/vnd.openxmlformats-officedocument.spreadsheetml.table+xml"/>
  <Override PartName="/xl/worksheets/sheet12.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5.xml" ContentType="application/vnd.openxmlformats-officedocument.spreadsheetml.workshee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worksheets/sheet16.xml" ContentType="application/vnd.openxmlformats-officedocument.spreadsheetml.worksheet+xml"/>
  <Override PartName="/xl/tables/table23.xml" ContentType="application/vnd.openxmlformats-officedocument.spreadsheetml.table+xml"/>
  <Override PartName="/xl/worksheets/sheet17.xml" ContentType="application/vnd.openxmlformats-officedocument.spreadsheetml.worksheet+xml"/>
  <Override PartName="/xl/tables/table24.xml" ContentType="application/vnd.openxmlformats-officedocument.spreadsheetml.table+xml"/>
  <Override PartName="/xl/worksheets/sheet18.xml" ContentType="application/vnd.openxmlformats-officedocument.spreadsheetml.worksheet+xml"/>
  <Override PartName="/xl/tables/table25.xml" ContentType="application/vnd.openxmlformats-officedocument.spreadsheetml.table+xml"/>
  <Override PartName="/xl/worksheets/sheet19.xml" ContentType="application/vnd.openxmlformats-officedocument.spreadsheetml.worksheet+xml"/>
  <Override PartName="/xl/tables/table26.xml" ContentType="application/vnd.openxmlformats-officedocument.spreadsheetml.table+xml"/>
  <Override PartName="/xl/worksheets/sheet20.xml" ContentType="application/vnd.openxmlformats-officedocument.spreadsheetml.worksheet+xml"/>
  <Override PartName="/xl/tables/table27.xml" ContentType="application/vnd.openxmlformats-officedocument.spreadsheetml.table+xml"/>
  <Override PartName="/xl/worksheets/sheet21.xml" ContentType="application/vnd.openxmlformats-officedocument.spreadsheetml.worksheet+xml"/>
  <Override PartName="/xl/tables/table28.xml" ContentType="application/vnd.openxmlformats-officedocument.spreadsheetml.table+xml"/>
  <Override PartName="/xl/worksheets/sheet22.xml" ContentType="application/vnd.openxmlformats-officedocument.spreadsheetml.worksheet+xml"/>
  <Override PartName="/xl/tables/table29.xml" ContentType="application/vnd.openxmlformats-officedocument.spreadsheetml.table+xml"/>
  <Override PartName="/xl/worksheets/sheet23.xml" ContentType="application/vnd.openxmlformats-officedocument.spreadsheetml.worksheet+xml"/>
  <Override PartName="/xl/tables/table30.xml" ContentType="application/vnd.openxmlformats-officedocument.spreadsheetml.table+xml"/>
  <Override PartName="/xl/worksheets/sheet24.xml" ContentType="application/vnd.openxmlformats-officedocument.spreadsheetml.worksheet+xml"/>
  <Override PartName="/xl/tables/table31.xml" ContentType="application/vnd.openxmlformats-officedocument.spreadsheetml.table+xml"/>
  <Override PartName="/xl/worksheets/sheet25.xml" ContentType="application/vnd.openxmlformats-officedocument.spreadsheetml.worksheet+xml"/>
  <Override PartName="/xl/tables/table32.xml" ContentType="application/vnd.openxmlformats-officedocument.spreadsheetml.table+xml"/>
  <Override PartName="/xl/worksheets/sheet26.xml" ContentType="application/vnd.openxmlformats-officedocument.spreadsheetml.worksheet+xml"/>
  <Override PartName="/xl/tables/table33.xml" ContentType="application/vnd.openxmlformats-officedocument.spreadsheetml.table+xml"/>
  <Override PartName="/xl/worksheets/sheet27.xml" ContentType="application/vnd.openxmlformats-officedocument.spreadsheetml.worksheet+xml"/>
  <Override PartName="/xl/tables/table34.xml" ContentType="application/vnd.openxmlformats-officedocument.spreadsheetml.table+xml"/>
  <Override PartName="/xl/worksheets/sheet28.xml" ContentType="application/vnd.openxmlformats-officedocument.spreadsheetml.worksheet+xml"/>
  <Override PartName="/xl/tables/table35.xml" ContentType="application/vnd.openxmlformats-officedocument.spreadsheetml.table+xml"/>
  <Override PartName="/xl/worksheets/sheet29.xml" ContentType="application/vnd.openxmlformats-officedocument.spreadsheetml.worksheet+xml"/>
  <Override PartName="/xl/tables/table36.xml" ContentType="application/vnd.openxmlformats-officedocument.spreadsheetml.table+xml"/>
  <Override PartName="/xl/worksheets/sheet30.xml" ContentType="application/vnd.openxmlformats-officedocument.spreadsheetml.worksheet+xml"/>
  <Override PartName="/xl/tables/table37.xml" ContentType="application/vnd.openxmlformats-officedocument.spreadsheetml.table+xml"/>
  <Override PartName="/xl/worksheets/sheet31.xml" ContentType="application/vnd.openxmlformats-officedocument.spreadsheetml.worksheet+xml"/>
  <Override PartName="/xl/tables/table38.xml" ContentType="application/vnd.openxmlformats-officedocument.spreadsheetml.table+xml"/>
  <Override PartName="/xl/worksheets/sheet32.xml" ContentType="application/vnd.openxmlformats-officedocument.spreadsheetml.worksheet+xml"/>
  <Override PartName="/xl/tables/table39.xml" ContentType="application/vnd.openxmlformats-officedocument.spreadsheetml.table+xml"/>
  <Override PartName="/xl/worksheets/sheet33.xml" ContentType="application/vnd.openxmlformats-officedocument.spreadsheetml.worksheet+xml"/>
  <Override PartName="/xl/tables/table40.xml" ContentType="application/vnd.openxmlformats-officedocument.spreadsheetml.table+xml"/>
  <Override PartName="/xl/worksheets/sheet34.xml" ContentType="application/vnd.openxmlformats-officedocument.spreadsheetml.worksheet+xml"/>
  <Override PartName="/xl/tables/table41.xml" ContentType="application/vnd.openxmlformats-officedocument.spreadsheetml.table+xml"/>
  <Override PartName="/xl/worksheets/sheet35.xml" ContentType="application/vnd.openxmlformats-officedocument.spreadsheetml.worksheet+xml"/>
  <Override PartName="/xl/tables/table42.xml" ContentType="application/vnd.openxmlformats-officedocument.spreadsheetml.table+xml"/>
  <Override PartName="/xl/worksheets/sheet36.xml" ContentType="application/vnd.openxmlformats-officedocument.spreadsheetml.worksheet+xml"/>
  <Override PartName="/xl/tables/table43.xml" ContentType="application/vnd.openxmlformats-officedocument.spreadsheetml.table+xml"/>
  <Override PartName="/xl/worksheets/sheet37.xml" ContentType="application/vnd.openxmlformats-officedocument.spreadsheetml.worksheet+xml"/>
  <Override PartName="/xl/tables/table44.xml" ContentType="application/vnd.openxmlformats-officedocument.spreadsheetml.table+xml"/>
  <Override PartName="/xl/worksheets/sheet38.xml" ContentType="application/vnd.openxmlformats-officedocument.spreadsheetml.worksheet+xml"/>
  <Override PartName="/xl/tables/table45.xml" ContentType="application/vnd.openxmlformats-officedocument.spreadsheetml.table+xml"/>
  <Override PartName="/xl/worksheets/sheet39.xml" ContentType="application/vnd.openxmlformats-officedocument.spreadsheetml.worksheet+xml"/>
  <Override PartName="/xl/tables/table46.xml" ContentType="application/vnd.openxmlformats-officedocument.spreadsheetml.table+xml"/>
  <Override PartName="/xl/worksheets/sheet40.xml" ContentType="application/vnd.openxmlformats-officedocument.spreadsheetml.worksheet+xml"/>
  <Override PartName="/xl/tables/table47.xml" ContentType="application/vnd.openxmlformats-officedocument.spreadsheetml.table+xml"/>
  <Override PartName="/xl/worksheets/sheet41.xml" ContentType="application/vnd.openxmlformats-officedocument.spreadsheetml.worksheet+xml"/>
  <Override PartName="/xl/tables/table48.xml" ContentType="application/vnd.openxmlformats-officedocument.spreadsheetml.table+xml"/>
  <Override PartName="/xl/worksheets/sheet42.xml" ContentType="application/vnd.openxmlformats-officedocument.spreadsheetml.worksheet+xml"/>
  <Override PartName="/xl/tables/table49.xml" ContentType="application/vnd.openxmlformats-officedocument.spreadsheetml.table+xml"/>
  <Override PartName="/xl/worksheets/sheet43.xml" ContentType="application/vnd.openxmlformats-officedocument.spreadsheetml.worksheet+xml"/>
  <Override PartName="/xl/tables/table50.xml" ContentType="application/vnd.openxmlformats-officedocument.spreadsheetml.table+xml"/>
  <Override PartName="/xl/worksheets/sheet44.xml" ContentType="application/vnd.openxmlformats-officedocument.spreadsheetml.worksheet+xml"/>
  <Override PartName="/xl/tables/table5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24F" lockStructure="1" lockWindows="0"/>
  <bookViews>
    <workbookView visibility="visible" minimized="0" showHorizontalScroll="1" showVerticalScroll="1" showSheetTabs="1" tabRatio="600" firstSheet="0" activeTab="0" autoFilterDateGrouping="1"/>
  </bookViews>
  <sheets>
    <sheet name="01_Home" sheetId="1" state="visible" r:id="rId1"/>
    <sheet name="02_Partner_Dashboard" sheetId="2" state="visible" r:id="rId2"/>
    <sheet name="03_CEO_Dashboard" sheetId="3" state="visible" r:id="rId3"/>
    <sheet name="04_Sales" sheetId="4" state="visible" r:id="rId4"/>
    <sheet name="05_Products" sheetId="5" state="visible" r:id="rId5"/>
    <sheet name="06_Customers" sheetId="6" state="visible" r:id="rId6"/>
    <sheet name="07_Inventory" sheetId="7" state="visible" r:id="rId7"/>
    <sheet name="08_Finance" sheetId="8" state="visible" r:id="rId8"/>
    <sheet name="09_Profitability" sheetId="9" state="visible" r:id="rId9"/>
    <sheet name="10_Expenses" sheetId="10" state="visible" r:id="rId10"/>
    <sheet name="11_Capital" sheetId="11" state="visible" r:id="rId11"/>
    <sheet name="12_Suppliers" sheetId="12" state="visible" r:id="rId12"/>
    <sheet name="13_Marketing" sheetId="13" state="visible" r:id="rId13"/>
    <sheet name="14_Data_Quality" sheetId="14" state="visible" r:id="rId14"/>
    <sheet name="15_Settings" sheetId="15" state="visible" r:id="rId15"/>
    <sheet name="RAW_Orders" sheetId="16" state="hidden" r:id="rId16"/>
    <sheet name="RAW_OrderLines" sheetId="17" state="hidden" r:id="rId17"/>
    <sheet name="RAW_Transactions" sheetId="18" state="hidden" r:id="rId18"/>
    <sheet name="RAW_Refunds" sheetId="19" state="hidden" r:id="rId19"/>
    <sheet name="RAW_Products" sheetId="20" state="hidden" r:id="rId20"/>
    <sheet name="RAW_Variants" sheetId="21" state="hidden" r:id="rId21"/>
    <sheet name="RAW_InventoryLevels" sheetId="22" state="hidden" r:id="rId22"/>
    <sheet name="RAW_Customers" sheetId="23" state="hidden" r:id="rId23"/>
    <sheet name="RAW_Collections" sheetId="24" state="hidden" r:id="rId24"/>
    <sheet name="RAW_Discounts" sheetId="25" state="hidden" r:id="rId25"/>
    <sheet name="DIM_Date" sheetId="26" state="hidden" r:id="rId26"/>
    <sheet name="DIM_Product" sheetId="27" state="hidden" r:id="rId27"/>
    <sheet name="DIM_Customer" sheetId="28" state="hidden" r:id="rId28"/>
    <sheet name="DIM_Location" sheetId="29" state="hidden" r:id="rId29"/>
    <sheet name="DIM_Collection" sheetId="30" state="hidden" r:id="rId30"/>
    <sheet name="DIM_Parameters" sheetId="31" state="hidden" r:id="rId31"/>
    <sheet name="DIM_Supplier" sheetId="32" state="hidden" r:id="rId32"/>
    <sheet name="DIM_ProductCostHistory" sheetId="33" state="hidden" r:id="rId33"/>
    <sheet name="FACT_OrderLines" sheetId="34" state="hidden" r:id="rId34"/>
    <sheet name="FACT_Refunds" sheetId="35" state="hidden" r:id="rId35"/>
    <sheet name="FACT_InventoryMovements" sheetId="36" state="hidden" r:id="rId36"/>
    <sheet name="FACT_Payments" sheetId="37" state="hidden" r:id="rId37"/>
    <sheet name="FACT_ManualExpenses" sheetId="38" state="hidden" r:id="rId38"/>
    <sheet name="FACT_CapitalTransactions" sheetId="39" state="hidden" r:id="rId39"/>
    <sheet name="FACT_PurchaseOrderHeader" sheetId="40" state="hidden" r:id="rId40"/>
    <sheet name="FACT_PurchaseOrderLines" sheetId="41" state="hidden" r:id="rId41"/>
    <sheet name="FACT_GoodsReceipt" sheetId="42" state="hidden" r:id="rId42"/>
    <sheet name="LOG_RefreshHistory" sheetId="43" state="hidden" r:id="rId43"/>
    <sheet name="LOG_DataQuality" sheetId="44" state="hidden" r:id="rId44"/>
  </sheets>
  <definedNames>
    <definedName name="SetCompanyName">'15_Settings'!$C$13</definedName>
    <definedName name="SetBaseCurrency">'15_Settings'!$C$14</definedName>
    <definedName name="SetReportingCurrency">'15_Settings'!$C$15</definedName>
    <definedName name="SetFiscalYearStartMonth">'15_Settings'!$C$16</definedName>
    <definedName name="SetDefaultVATRate">'15_Settings'!$C$17</definedName>
    <definedName name="SetTargetGrossMargin">'15_Settings'!$C$18</definedName>
    <definedName name="SetShopifyStoreDomain">'15_Settings'!$C$23</definedName>
    <definedName name="SetShopifyAPIVersion">'15_Settings'!$C$24</definedName>
    <definedName name="SetLookbackDaysIncrementalRefresh">'15_Settings'!$C$25</definedName>
    <definedName name="SetHistoricalBackfillStartDate">'15_Settings'!$C$26</definedName>
    <definedName name="SetMaxPagesPerRefreshSafetyCap">'15_Settings'!$C$27</definedName>
    <definedName name="LookupExpenseCategory">=tbl_LookupExpenseCategory[Expense Category]</definedName>
    <definedName name="LookupExpenseSubcategory">=tbl_LookupExpenseSubcategory[Expense Subcategory]</definedName>
    <definedName name="LookupCostCenter">=tbl_LookupCostCenter[Cost Center]</definedName>
    <definedName name="LookupPaymentMethod">=tbl_LookupPaymentMethod[Payment Method]</definedName>
    <definedName name="LookupCurrency">=tbl_LookupCurrency[Currency]</definedName>
    <definedName name="LookupSupplierType">=tbl_LookupSupplierType[Supplier Type]</definedName>
    <definedName name="LookupSupplierStatus">=tbl_LookupSupplierStatus[Supplier Status]</definedName>
    <definedName name="LookupCapitalTransactionType">=tbl_LookupCapitalTransactionType[Capital Transaction Type]</definedName>
    <definedName name="LookupPOStatus">=tbl_LookupPOStatus[PO Status]</definedName>
    <definedName name="LookupWarehouse">=tbl_LookupWarehouse[Warehouse]</definedName>
    <definedName name="LookupOwner">=tbl_LookupOwner[Owner]</definedName>
    <definedName name="SupplierNameList">=tbl_SupplierMaster[Supplier Name]</definedName>
    <definedName name="POHeaderList">=tbl_POHeader[PO Number]</definedName>
    <definedName name="SKUList">=tbl_RAW_Variants[SKU]</definedName>
    <definedName name="CollectionTitleList">=tbl_RAW_Collections[Title]</definedName>
  </definedNames>
  <calcPr calcId="124519" fullCalcOnLoad="1"/>
</workbook>
</file>

<file path=xl/styles.xml><?xml version="1.0" encoding="utf-8"?>
<styleSheet xmlns="http://schemas.openxmlformats.org/spreadsheetml/2006/main">
  <numFmts count="1">
    <numFmt numFmtId="164" formatCode="0.0%"/>
  </numFmts>
  <fonts count="21">
    <font>
      <name val="Calibri"/>
      <family val="2"/>
      <color theme="1"/>
      <sz val="11"/>
      <scheme val="minor"/>
    </font>
    <font>
      <name val="Segoe UI"/>
      <b val="1"/>
      <color rgb="00FFFFFF"/>
      <sz val="18"/>
    </font>
    <font>
      <name val="Segoe UI"/>
      <i val="1"/>
      <color rgb="00595959"/>
      <sz val="9"/>
    </font>
    <font>
      <name val="Segoe UI"/>
      <b val="1"/>
      <i val="1"/>
      <color rgb="00595959"/>
      <sz val="8"/>
    </font>
    <font>
      <name val="Segoe UI"/>
      <b val="1"/>
      <color rgb="00595959"/>
      <sz val="8"/>
    </font>
    <font>
      <name val="Segoe UI"/>
      <i val="1"/>
      <color rgb="00595959"/>
      <sz val="8"/>
    </font>
    <font>
      <name val="Segoe UI"/>
      <b val="1"/>
      <color rgb="00D9D9D9"/>
      <sz val="8"/>
    </font>
    <font>
      <name val="Segoe UI"/>
      <b val="1"/>
      <color rgb="00FFFFFF"/>
      <sz val="20"/>
    </font>
    <font>
      <name val="Segoe UI"/>
      <b val="1"/>
      <color rgb="00FFFFFF"/>
      <sz val="13"/>
    </font>
    <font>
      <name val="Segoe UI"/>
      <b val="1"/>
      <color rgb="00595959"/>
      <sz val="10"/>
    </font>
    <font>
      <name val="Segoe UI"/>
      <b val="1"/>
      <color rgb="00FFFFFF"/>
      <sz val="11"/>
    </font>
    <font>
      <name val="Segoe UI"/>
      <b val="1"/>
      <color rgb="00000000"/>
      <sz val="12"/>
    </font>
    <font>
      <name val="Segoe UI"/>
      <b val="1"/>
      <color rgb="00FFFFFF"/>
      <sz val="9"/>
    </font>
    <font>
      <name val="Segoe UI"/>
      <i val="1"/>
      <color rgb="00008000"/>
      <sz val="9"/>
    </font>
    <font>
      <name val="Segoe UI"/>
      <color rgb="007F7F7F"/>
      <sz val="9"/>
    </font>
    <font>
      <name val="Segoe UI"/>
      <i val="1"/>
      <color rgb="00C55A11"/>
      <sz val="9"/>
    </font>
    <font>
      <name val="Segoe UI"/>
      <color rgb="00595959"/>
      <sz val="9"/>
    </font>
    <font>
      <name val="Segoe UI"/>
      <b val="1"/>
      <color rgb="00C55A11"/>
      <sz val="9"/>
    </font>
    <font>
      <name val="Segoe UI"/>
      <color rgb="00C55A11"/>
      <sz val="9"/>
    </font>
    <font>
      <name val="Segoe UI"/>
      <color rgb="000070C0"/>
      <sz val="9"/>
    </font>
    <font>
      <name val="Segoe UI"/>
      <color rgb="00008000"/>
      <sz val="9"/>
    </font>
  </fonts>
  <fills count="13">
    <fill>
      <patternFill/>
    </fill>
    <fill>
      <patternFill patternType="gray125"/>
    </fill>
    <fill>
      <patternFill patternType="solid"/>
    </fill>
    <fill>
      <patternFill patternType="solid">
        <fgColor rgb="00F2F2F2"/>
      </patternFill>
    </fill>
    <fill>
      <patternFill patternType="solid">
        <fgColor rgb="00FFFFFF"/>
      </patternFill>
    </fill>
    <fill>
      <patternFill patternType="solid">
        <fgColor rgb="00404040"/>
      </patternFill>
    </fill>
    <fill>
      <patternFill patternType="solid">
        <fgColor rgb="00375623"/>
      </patternFill>
    </fill>
    <fill>
      <patternFill patternType="solid">
        <fgColor rgb="00EAF3EA"/>
      </patternFill>
    </fill>
    <fill>
      <patternFill patternType="solid">
        <fgColor rgb="00C55A11"/>
      </patternFill>
    </fill>
    <fill>
      <patternFill patternType="solid">
        <fgColor rgb="00FCEEE3"/>
      </patternFill>
    </fill>
    <fill>
      <patternFill patternType="solid">
        <fgColor rgb="00595959"/>
      </patternFill>
    </fill>
    <fill>
      <patternFill patternType="solid">
        <fgColor rgb="001F4E78"/>
      </patternFill>
    </fill>
    <fill>
      <patternFill patternType="solid">
        <fgColor rgb="00EAF1F8"/>
      </patternFill>
    </fill>
  </fills>
  <borders count="3">
    <border>
      <left/>
      <right/>
      <top/>
      <bottom/>
      <diagonal/>
    </border>
    <border>
      <left style="dashed">
        <color rgb="00BFBFBF"/>
      </left>
      <right style="dashed">
        <color rgb="00BFBFBF"/>
      </right>
      <top style="dashed">
        <color rgb="00BFBFBF"/>
      </top>
      <bottom style="dashed">
        <color rgb="00BFBFBF"/>
      </bottom>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5" borderId="0" applyAlignment="1" pivotButton="0" quotePrefix="0" xfId="0">
      <alignment horizontal="left" vertical="bottom" indent="1"/>
    </xf>
    <xf numFmtId="0" fontId="0" fillId="5" borderId="0" pivotButton="0" quotePrefix="0" xfId="0"/>
    <xf numFmtId="0" fontId="7" fillId="5" borderId="0" applyAlignment="1" pivotButton="0" quotePrefix="0" xfId="0">
      <alignment horizontal="left" vertical="center" indent="1"/>
    </xf>
    <xf numFmtId="0" fontId="8" fillId="5" borderId="0" applyAlignment="1" pivotButton="0" quotePrefix="0" xfId="0">
      <alignment horizontal="left" vertical="center" wrapText="1" indent="1"/>
    </xf>
    <xf numFmtId="0" fontId="9" fillId="0" borderId="0" pivotButton="0" quotePrefix="0" xfId="0"/>
    <xf numFmtId="0" fontId="10" fillId="5" borderId="0" applyAlignment="1" pivotButton="0" quotePrefix="0" xfId="0">
      <alignment horizontal="center" vertical="center" wrapText="1"/>
    </xf>
    <xf numFmtId="0" fontId="2" fillId="0" borderId="0" pivotButton="0" quotePrefix="0" xfId="0"/>
    <xf numFmtId="0" fontId="2" fillId="3" borderId="1" applyAlignment="1" pivotButton="0" quotePrefix="0" xfId="0">
      <alignment horizontal="center" vertical="center" wrapText="1"/>
    </xf>
    <xf numFmtId="0" fontId="0" fillId="3" borderId="1" pivotButton="0" quotePrefix="0" xfId="0"/>
    <xf numFmtId="0" fontId="11" fillId="0" borderId="0" pivotButton="0" quotePrefix="0" xfId="0"/>
    <xf numFmtId="0" fontId="5" fillId="0" borderId="0" pivotButton="0" quotePrefix="0" xfId="0"/>
    <xf numFmtId="0" fontId="12" fillId="6" borderId="2" applyAlignment="1" pivotButton="0" quotePrefix="0" xfId="0">
      <alignment horizontal="left" vertical="center" wrapText="1"/>
    </xf>
    <xf numFmtId="0" fontId="14" fillId="3" borderId="2" pivotButton="0" quotePrefix="0" xfId="0"/>
    <xf numFmtId="0" fontId="13" fillId="7" borderId="2" applyProtection="1" pivotButton="0" quotePrefix="0" xfId="0">
      <protection locked="0" hidden="0"/>
    </xf>
    <xf numFmtId="4" fontId="14" fillId="3" borderId="2" pivotButton="0" quotePrefix="0" xfId="0"/>
    <xf numFmtId="164" fontId="14" fillId="3" borderId="2" pivotButton="0" quotePrefix="0" xfId="0"/>
    <xf numFmtId="0" fontId="12" fillId="8" borderId="2" applyAlignment="1" pivotButton="0" quotePrefix="0" xfId="0">
      <alignment horizontal="left" vertical="center" wrapText="1"/>
    </xf>
    <xf numFmtId="0" fontId="15" fillId="9" borderId="2" pivotButton="0" quotePrefix="0" xfId="0"/>
    <xf numFmtId="0" fontId="12" fillId="10" borderId="2" applyAlignment="1" pivotButton="0" quotePrefix="0" xfId="0">
      <alignment horizontal="left" vertical="center" wrapText="1"/>
    </xf>
    <xf numFmtId="0" fontId="12" fillId="8" borderId="2" pivotButton="0" quotePrefix="0" xfId="0"/>
    <xf numFmtId="0" fontId="16" fillId="3" borderId="2" pivotButton="0" quotePrefix="0" xfId="0"/>
    <xf numFmtId="0" fontId="17" fillId="9" borderId="2" applyProtection="1" pivotButton="0" quotePrefix="0" xfId="0">
      <protection locked="0" hidden="0"/>
    </xf>
    <xf numFmtId="0" fontId="5" fillId="3" borderId="2" pivotButton="0" quotePrefix="0" xfId="0"/>
    <xf numFmtId="0" fontId="18" fillId="9" borderId="2" applyProtection="1" pivotButton="0" quotePrefix="0" xfId="0">
      <protection locked="0" hidden="0"/>
    </xf>
    <xf numFmtId="0" fontId="12" fillId="11" borderId="2" applyAlignment="1" pivotButton="0" quotePrefix="0" xfId="0">
      <alignment horizontal="left" vertical="center" wrapText="1"/>
    </xf>
    <xf numFmtId="0" fontId="19" fillId="12" borderId="2" pivotButton="0" quotePrefix="0" xfId="0"/>
    <xf numFmtId="0" fontId="20" fillId="7" borderId="2"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ables/table1.xml><?xml version="1.0" encoding="utf-8"?>
<table xmlns="http://schemas.openxmlformats.org/spreadsheetml/2006/main" id="1" name="tbl_ProductCostMaster" displayName="tbl_ProductCostMaster" ref="B44:S45" headerRowCount="1">
  <autoFilter ref="B44:S45"/>
  <tableColumns count="18">
    <tableColumn id="2" name="Cost ID"/>
    <tableColumn id="3" name="SKU"/>
    <tableColumn id="4" name="Product Name"/>
    <tableColumn id="5" name="Variant"/>
    <tableColumn id="6" name="Collection"/>
    <tableColumn id="7" name="Fabric Cost"/>
    <tableColumn id="8" name="Accessories Cost"/>
    <tableColumn id="9" name="Manufacturing Cost"/>
    <tableColumn id="10" name="Packaging Cost"/>
    <tableColumn id="11" name="Shipping Cost"/>
    <tableColumn id="12" name="Other Cost"/>
    <tableColumn id="13" name="Total Landed Cost"/>
    <tableColumn id="14" name="Selling Price"/>
    <tableColumn id="15" name="Expected Gross Margin %"/>
    <tableColumn id="16" name="Effective From Date"/>
    <tableColumn id="17" name="Effective To Date"/>
    <tableColumn id="18" name="Active Flag"/>
    <tableColumn id="19" name="Overlap Warning"/>
  </tableColumns>
  <tableStyleInfo name="TableStyleLight1" showFirstColumn="0" showLastColumn="0" showRowStripes="0" showColumnStripes="0"/>
</table>
</file>

<file path=xl/tables/table2.xml><?xml version="1.0" encoding="utf-8"?>
<table xmlns="http://schemas.openxmlformats.org/spreadsheetml/2006/main" id="2" name="tbl_ManualExpenses" displayName="tbl_ManualExpenses" ref="B17:R18" headerRowCount="1">
  <autoFilter ref="B17:R18"/>
  <tableColumns count="17">
    <tableColumn id="2" name="Expense ID"/>
    <tableColumn id="3" name="Expense Date"/>
    <tableColumn id="4" name="Expense Category"/>
    <tableColumn id="5" name="Expense Subcategory"/>
    <tableColumn id="6" name="Supplier"/>
    <tableColumn id="7" name="Amount"/>
    <tableColumn id="8" name="Currency"/>
    <tableColumn id="9" name="Payment Method"/>
    <tableColumn id="10" name="Related Collection"/>
    <tableColumn id="11" name="Related SKU"/>
    <tableColumn id="12" name="Cost Center"/>
    <tableColumn id="13" name="Notes"/>
    <tableColumn id="14" name="Invoice Number"/>
    <tableColumn id="15" name="File Name"/>
    <tableColumn id="16" name="File Path"/>
    <tableColumn id="17" name="Cloud Link"/>
    <tableColumn id="18" name="Possible Duplicate"/>
  </tableColumns>
  <tableStyleInfo name="TableStyleLight1" showFirstColumn="0" showLastColumn="0" showRowStripes="0" showColumnStripes="0"/>
</table>
</file>

<file path=xl/tables/table3.xml><?xml version="1.0" encoding="utf-8"?>
<table xmlns="http://schemas.openxmlformats.org/spreadsheetml/2006/main" id="3" name="tbl_CapitalTransactions" displayName="tbl_CapitalTransactions" ref="B17:I18" headerRowCount="1">
  <autoFilter ref="B17:I18"/>
  <tableColumns count="8">
    <tableColumn id="2" name="Capital ID"/>
    <tableColumn id="3" name="Date"/>
    <tableColumn id="4" name="Owner"/>
    <tableColumn id="5" name="Transaction Type"/>
    <tableColumn id="6" name="Amount"/>
    <tableColumn id="7" name="Notes"/>
    <tableColumn id="8" name="Entered By"/>
    <tableColumn id="9" name="Possible Duplicate"/>
  </tableColumns>
  <tableStyleInfo name="TableStyleLight1" showFirstColumn="0" showLastColumn="0" showRowStripes="0" showColumnStripes="0"/>
</table>
</file>

<file path=xl/tables/table4.xml><?xml version="1.0" encoding="utf-8"?>
<table xmlns="http://schemas.openxmlformats.org/spreadsheetml/2006/main" id="4" name="tbl_SupplierMaster" displayName="tbl_SupplierMaster" ref="B17:K18" headerRowCount="1">
  <autoFilter ref="B17:K18"/>
  <tableColumns count="10">
    <tableColumn id="2" name="Supplier ID"/>
    <tableColumn id="3" name="Supplier Name"/>
    <tableColumn id="4" name="Supplier Type"/>
    <tableColumn id="5" name="Contact Person"/>
    <tableColumn id="6" name="Phone"/>
    <tableColumn id="7" name="Email"/>
    <tableColumn id="8" name="Currency"/>
    <tableColumn id="9" name="Payment Terms"/>
    <tableColumn id="10" name="Status"/>
    <tableColumn id="11" name="Notes"/>
  </tableColumns>
  <tableStyleInfo name="TableStyleLight1" showFirstColumn="0" showLastColumn="0" showRowStripes="0" showColumnStripes="0"/>
</table>
</file>

<file path=xl/tables/table5.xml><?xml version="1.0" encoding="utf-8"?>
<table xmlns="http://schemas.openxmlformats.org/spreadsheetml/2006/main" id="5" name="tbl_POHeader" displayName="tbl_POHeader" ref="B22:H23" headerRowCount="1">
  <autoFilter ref="B22:H23"/>
  <tableColumns count="7">
    <tableColumn id="2" name="PO Number"/>
    <tableColumn id="3" name="Supplier"/>
    <tableColumn id="4" name="Order Date"/>
    <tableColumn id="5" name="Expected Delivery Date"/>
    <tableColumn id="6" name="Status"/>
    <tableColumn id="7" name="Currency"/>
    <tableColumn id="8" name="Notes"/>
  </tableColumns>
  <tableStyleInfo name="TableStyleLight1" showFirstColumn="0" showLastColumn="0" showRowStripes="0" showColumnStripes="0"/>
</table>
</file>

<file path=xl/tables/table6.xml><?xml version="1.0" encoding="utf-8"?>
<table xmlns="http://schemas.openxmlformats.org/spreadsheetml/2006/main" id="6" name="tbl_POLines" displayName="tbl_POLines" ref="B27:F28" headerRowCount="1">
  <autoFilter ref="B27:F28"/>
  <tableColumns count="5">
    <tableColumn id="2" name="PO Number"/>
    <tableColumn id="3" name="SKU"/>
    <tableColumn id="4" name="Quantity Ordered"/>
    <tableColumn id="5" name="Unit Cost"/>
    <tableColumn id="6" name="Total Cost"/>
  </tableColumns>
  <tableStyleInfo name="TableStyleLight1" showFirstColumn="0" showLastColumn="0" showRowStripes="0" showColumnStripes="0"/>
</table>
</file>

<file path=xl/tables/table7.xml><?xml version="1.0" encoding="utf-8"?>
<table xmlns="http://schemas.openxmlformats.org/spreadsheetml/2006/main" id="7" name="tbl_GoodsReceipt" displayName="tbl_GoodsReceipt" ref="B32:J33" headerRowCount="1">
  <autoFilter ref="B32:J33"/>
  <tableColumns count="9">
    <tableColumn id="2" name="PO Number"/>
    <tableColumn id="3" name="SKU"/>
    <tableColumn id="4" name="Goods Received Date"/>
    <tableColumn id="5" name="Quantity Received"/>
    <tableColumn id="6" name="Remaining Quantity"/>
    <tableColumn id="7" name="Actual Unit Cost"/>
    <tableColumn id="8" name="Variance from PO"/>
    <tableColumn id="9" name="Warehouse"/>
    <tableColumn id="10" name="Receiver"/>
  </tableColumns>
  <tableStyleInfo name="TableStyleLight1" showFirstColumn="0" showLastColumn="0" showRowStripes="0" showColumnStripes="0"/>
</table>
</file>

<file path=xl/tables/table8.xml><?xml version="1.0" encoding="utf-8"?>
<table xmlns="http://schemas.openxmlformats.org/spreadsheetml/2006/main" id="8" name="tbl_ValidationRules" displayName="tbl_ValidationRules" ref="B17:E18" headerRowCount="1">
  <autoFilter ref="B17:E18"/>
  <tableColumns count="4">
    <tableColumn id="2" name="Rule ID"/>
    <tableColumn id="3" name="Check Name"/>
    <tableColumn id="4" name="Applies To"/>
    <tableColumn id="5" name="Threshold"/>
  </tableColumns>
  <tableStyleInfo name="TableStyleLight1" showFirstColumn="0" showLastColumn="0" showRowStripes="0" showColumnStripes="0"/>
</table>
</file>

<file path=xl/tables/table9.xml><?xml version="1.0" encoding="utf-8"?>
<table xmlns="http://schemas.openxmlformats.org/spreadsheetml/2006/main" id="9" name="tbl_RefreshStatusSummary" displayName="tbl_RefreshStatusSummary" ref="B22:E23" headerRowCount="1">
  <autoFilter ref="B22:E23"/>
  <tableColumns count="4">
    <tableColumn id="2" name="Table"/>
    <tableColumn id="3" name="Last Refreshed"/>
    <tableColumn id="4" name="Row Count"/>
    <tableColumn id="5" name="Status"/>
  </tableColumns>
  <tableStyleInfo name="TableStyleLight1" showFirstColumn="0" showLastColumn="0" showRowStripes="0" showColumnStripes="0"/>
</table>
</file>

<file path=xl/tables/table10.xml><?xml version="1.0" encoding="utf-8"?>
<table xmlns="http://schemas.openxmlformats.org/spreadsheetml/2006/main" id="10" name="tbl_ChartOfAccounts" displayName="tbl_ChartOfAccounts" ref="B31:F32" headerRowCount="1">
  <autoFilter ref="B31:F32"/>
  <tableColumns count="5">
    <tableColumn id="2" name="Account Code"/>
    <tableColumn id="3" name="Account Name"/>
    <tableColumn id="4" name="Statement"/>
    <tableColumn id="5" name="P&amp;L / BS Line"/>
    <tableColumn id="6" name="Source"/>
  </tableColumns>
  <tableStyleInfo name="TableStyleLight1" showFirstColumn="0" showLastColumn="0" showRowStripes="0" showColumnStripes="0"/>
</table>
</file>

<file path=xl/tables/table11.xml><?xml version="1.0" encoding="utf-8"?>
<table xmlns="http://schemas.openxmlformats.org/spreadsheetml/2006/main" id="11" name="tbl_VersionLog" displayName="tbl_VersionLog" ref="B36:E40" headerRowCount="1">
  <autoFilter ref="B36:E40"/>
  <tableColumns count="4">
    <tableColumn id="2" name="Version"/>
    <tableColumn id="3" name="Date"/>
    <tableColumn id="4" name="Phase"/>
    <tableColumn id="5" name="Summary"/>
  </tableColumns>
  <tableStyleInfo name="TableStyleLight1" showFirstColumn="0" showLastColumn="0" showRowStripes="0" showColumnStripes="0"/>
</table>
</file>

<file path=xl/tables/table12.xml><?xml version="1.0" encoding="utf-8"?>
<table xmlns="http://schemas.openxmlformats.org/spreadsheetml/2006/main" id="12" name="tbl_LookupExpenseCategory" displayName="tbl_LookupExpenseCategory" ref="B44:B54" headerRowCount="1">
  <autoFilter ref="B44:B54"/>
  <tableColumns count="1">
    <tableColumn id="2" name="Expense Category"/>
  </tableColumns>
  <tableStyleInfo name="TableStyleLight1" showFirstColumn="0" showLastColumn="0" showRowStripes="0" showColumnStripes="0"/>
</table>
</file>

<file path=xl/tables/table13.xml><?xml version="1.0" encoding="utf-8"?>
<table xmlns="http://schemas.openxmlformats.org/spreadsheetml/2006/main" id="13" name="tbl_LookupExpenseSubcategory" displayName="tbl_LookupExpenseSubcategory" ref="B56:B68" headerRowCount="1">
  <autoFilter ref="B56:B68"/>
  <tableColumns count="1">
    <tableColumn id="2" name="Expense Subcategory"/>
  </tableColumns>
  <tableStyleInfo name="TableStyleLight1" showFirstColumn="0" showLastColumn="0" showRowStripes="0" showColumnStripes="0"/>
</table>
</file>

<file path=xl/tables/table14.xml><?xml version="1.0" encoding="utf-8"?>
<table xmlns="http://schemas.openxmlformats.org/spreadsheetml/2006/main" id="14" name="tbl_LookupCostCenter" displayName="tbl_LookupCostCenter" ref="B70:B75" headerRowCount="1">
  <autoFilter ref="B70:B75"/>
  <tableColumns count="1">
    <tableColumn id="2" name="Cost Center"/>
  </tableColumns>
  <tableStyleInfo name="TableStyleLight1" showFirstColumn="0" showLastColumn="0" showRowStripes="0" showColumnStripes="0"/>
</table>
</file>

<file path=xl/tables/table15.xml><?xml version="1.0" encoding="utf-8"?>
<table xmlns="http://schemas.openxmlformats.org/spreadsheetml/2006/main" id="15" name="tbl_LookupPaymentMethod" displayName="tbl_LookupPaymentMethod" ref="B77:B83" headerRowCount="1">
  <autoFilter ref="B77:B83"/>
  <tableColumns count="1">
    <tableColumn id="2" name="Payment Method"/>
  </tableColumns>
  <tableStyleInfo name="TableStyleLight1" showFirstColumn="0" showLastColumn="0" showRowStripes="0" showColumnStripes="0"/>
</table>
</file>

<file path=xl/tables/table16.xml><?xml version="1.0" encoding="utf-8"?>
<table xmlns="http://schemas.openxmlformats.org/spreadsheetml/2006/main" id="16" name="tbl_LookupCurrency" displayName="tbl_LookupCurrency" ref="B85:B89" headerRowCount="1">
  <autoFilter ref="B85:B89"/>
  <tableColumns count="1">
    <tableColumn id="2" name="Currency"/>
  </tableColumns>
  <tableStyleInfo name="TableStyleLight1" showFirstColumn="0" showLastColumn="0" showRowStripes="0" showColumnStripes="0"/>
</table>
</file>

<file path=xl/tables/table17.xml><?xml version="1.0" encoding="utf-8"?>
<table xmlns="http://schemas.openxmlformats.org/spreadsheetml/2006/main" id="17" name="tbl_LookupSupplierType" displayName="tbl_LookupSupplierType" ref="B91:B99" headerRowCount="1">
  <autoFilter ref="B91:B99"/>
  <tableColumns count="1">
    <tableColumn id="2" name="Supplier Type"/>
  </tableColumns>
  <tableStyleInfo name="TableStyleLight1" showFirstColumn="0" showLastColumn="0" showRowStripes="0" showColumnStripes="0"/>
</table>
</file>

<file path=xl/tables/table18.xml><?xml version="1.0" encoding="utf-8"?>
<table xmlns="http://schemas.openxmlformats.org/spreadsheetml/2006/main" id="18" name="tbl_LookupSupplierStatus" displayName="tbl_LookupSupplierStatus" ref="B101:B104" headerRowCount="1">
  <autoFilter ref="B101:B104"/>
  <tableColumns count="1">
    <tableColumn id="2" name="Supplier Status"/>
  </tableColumns>
  <tableStyleInfo name="TableStyleLight1" showFirstColumn="0" showLastColumn="0" showRowStripes="0" showColumnStripes="0"/>
</table>
</file>

<file path=xl/tables/table19.xml><?xml version="1.0" encoding="utf-8"?>
<table xmlns="http://schemas.openxmlformats.org/spreadsheetml/2006/main" id="19" name="tbl_LookupCapitalTransactionType" displayName="tbl_LookupCapitalTransactionType" ref="B106:B108" headerRowCount="1">
  <autoFilter ref="B106:B108"/>
  <tableColumns count="1">
    <tableColumn id="2" name="Capital Transaction Type"/>
  </tableColumns>
  <tableStyleInfo name="TableStyleLight1" showFirstColumn="0" showLastColumn="0" showRowStripes="0" showColumnStripes="0"/>
</table>
</file>

<file path=xl/tables/table20.xml><?xml version="1.0" encoding="utf-8"?>
<table xmlns="http://schemas.openxmlformats.org/spreadsheetml/2006/main" id="20" name="tbl_LookupPOStatus" displayName="tbl_LookupPOStatus" ref="B110:B117" headerRowCount="1">
  <autoFilter ref="B110:B117"/>
  <tableColumns count="1">
    <tableColumn id="2" name="PO Status"/>
  </tableColumns>
  <tableStyleInfo name="TableStyleLight1" showFirstColumn="0" showLastColumn="0" showRowStripes="0" showColumnStripes="0"/>
</table>
</file>

<file path=xl/tables/table21.xml><?xml version="1.0" encoding="utf-8"?>
<table xmlns="http://schemas.openxmlformats.org/spreadsheetml/2006/main" id="21" name="tbl_LookupWarehouse" displayName="tbl_LookupWarehouse" ref="B119:B122" headerRowCount="1">
  <autoFilter ref="B119:B122"/>
  <tableColumns count="1">
    <tableColumn id="2" name="Warehouse"/>
  </tableColumns>
  <tableStyleInfo name="TableStyleLight1" showFirstColumn="0" showLastColumn="0" showRowStripes="0" showColumnStripes="0"/>
</table>
</file>

<file path=xl/tables/table22.xml><?xml version="1.0" encoding="utf-8"?>
<table xmlns="http://schemas.openxmlformats.org/spreadsheetml/2006/main" id="22" name="tbl_LookupOwner" displayName="tbl_LookupOwner" ref="B124:B125" headerRowCount="1">
  <autoFilter ref="B124:B125"/>
  <tableColumns count="1">
    <tableColumn id="2" name="Owner"/>
  </tableColumns>
  <tableStyleInfo name="TableStyleLight1" showFirstColumn="0" showLastColumn="0" showRowStripes="0" showColumnStripes="0"/>
</table>
</file>

<file path=xl/tables/table23.xml><?xml version="1.0" encoding="utf-8"?>
<table xmlns="http://schemas.openxmlformats.org/spreadsheetml/2006/main" id="23" name="tbl_RAW_Orders" displayName="tbl_RAW_Orders" ref="B11:N12" headerRowCount="1">
  <autoFilter ref="B11:N12"/>
  <tableColumns count="13">
    <tableColumn id="2" name="OrderID"/>
    <tableColumn id="3" name="OrderNumber"/>
    <tableColumn id="4" name="CreatedAt"/>
    <tableColumn id="5" name="UpdatedAt"/>
    <tableColumn id="6" name="FinancialStatus"/>
    <tableColumn id="7" name="FulfillmentStatus"/>
    <tableColumn id="8" name="Currency"/>
    <tableColumn id="9" name="TotalPrice"/>
    <tableColumn id="10" name="SubtotalPrice"/>
    <tableColumn id="11" name="TotalDiscounts"/>
    <tableColumn id="12" name="TotalTax"/>
    <tableColumn id="13" name="CustomerID"/>
    <tableColumn id="14" name="LocationID"/>
  </tableColumns>
  <tableStyleInfo name="TableStyleLight1" showFirstColumn="0" showLastColumn="0" showRowStripes="0" showColumnStripes="0"/>
</table>
</file>

<file path=xl/tables/table24.xml><?xml version="1.0" encoding="utf-8"?>
<table xmlns="http://schemas.openxmlformats.org/spreadsheetml/2006/main" id="24" name="tbl_RAW_OrderLines" displayName="tbl_RAW_OrderLines" ref="B11:K12" headerRowCount="1">
  <autoFilter ref="B11:K12"/>
  <tableColumns count="10">
    <tableColumn id="2" name="LineItemID"/>
    <tableColumn id="3" name="OrderID"/>
    <tableColumn id="4" name="ProductID"/>
    <tableColumn id="5" name="VariantID"/>
    <tableColumn id="6" name="SKU"/>
    <tableColumn id="7" name="Title"/>
    <tableColumn id="8" name="Quantity"/>
    <tableColumn id="9" name="UnitPrice"/>
    <tableColumn id="10" name="DiscountAllocated"/>
    <tableColumn id="11" name="TaxAllocated"/>
  </tableColumns>
  <tableStyleInfo name="TableStyleLight1" showFirstColumn="0" showLastColumn="0" showRowStripes="0" showColumnStripes="0"/>
</table>
</file>

<file path=xl/tables/table25.xml><?xml version="1.0" encoding="utf-8"?>
<table xmlns="http://schemas.openxmlformats.org/spreadsheetml/2006/main" id="25" name="tbl_RAW_Transactions" displayName="tbl_RAW_Transactions" ref="B11:K12" headerRowCount="1">
  <autoFilter ref="B11:K12"/>
  <tableColumns count="10">
    <tableColumn id="2" name="TransactionID"/>
    <tableColumn id="3" name="OrderID"/>
    <tableColumn id="4" name="Kind"/>
    <tableColumn id="5" name="Status"/>
    <tableColumn id="6" name="Gateway"/>
    <tableColumn id="7" name="AmountShop"/>
    <tableColumn id="8" name="CurrencyShop"/>
    <tableColumn id="9" name="CreatedAt"/>
    <tableColumn id="10" name="ProcessedAt"/>
    <tableColumn id="11" name="Test"/>
  </tableColumns>
  <tableStyleInfo name="TableStyleLight1" showFirstColumn="0" showLastColumn="0" showRowStripes="0" showColumnStripes="0"/>
</table>
</file>

<file path=xl/tables/table26.xml><?xml version="1.0" encoding="utf-8"?>
<table xmlns="http://schemas.openxmlformats.org/spreadsheetml/2006/main" id="26" name="tbl_RAW_Refunds" displayName="tbl_RAW_Refunds" ref="B11:K12" headerRowCount="1">
  <autoFilter ref="B11:K12"/>
  <tableColumns count="10">
    <tableColumn id="2" name="RefundLineItemID"/>
    <tableColumn id="3" name="RefundID"/>
    <tableColumn id="4" name="OrderID"/>
    <tableColumn id="5" name="LineItemID"/>
    <tableColumn id="6" name="Quantity"/>
    <tableColumn id="7" name="SubtotalAmount"/>
    <tableColumn id="8" name="TaxAmount"/>
    <tableColumn id="9" name="RefundCreatedAt"/>
    <tableColumn id="10" name="RefundProcessedAt"/>
    <tableColumn id="11" name="Note"/>
  </tableColumns>
  <tableStyleInfo name="TableStyleLight1" showFirstColumn="0" showLastColumn="0" showRowStripes="0" showColumnStripes="0"/>
</table>
</file>

<file path=xl/tables/table27.xml><?xml version="1.0" encoding="utf-8"?>
<table xmlns="http://schemas.openxmlformats.org/spreadsheetml/2006/main" id="27" name="tbl_RAW_Products" displayName="tbl_RAW_Products" ref="B11:I12" headerRowCount="1">
  <autoFilter ref="B11:I12"/>
  <tableColumns count="8">
    <tableColumn id="2" name="ProductID"/>
    <tableColumn id="3" name="Title"/>
    <tableColumn id="4" name="ProductType"/>
    <tableColumn id="5" name="Vendor"/>
    <tableColumn id="6" name="CollectionIDs"/>
    <tableColumn id="7" name="CreatedAt"/>
    <tableColumn id="8" name="UpdatedAt"/>
    <tableColumn id="9" name="Status"/>
  </tableColumns>
  <tableStyleInfo name="TableStyleLight1" showFirstColumn="0" showLastColumn="0" showRowStripes="0" showColumnStripes="0"/>
</table>
</file>

<file path=xl/tables/table28.xml><?xml version="1.0" encoding="utf-8"?>
<table xmlns="http://schemas.openxmlformats.org/spreadsheetml/2006/main" id="28" name="tbl_RAW_Variants" displayName="tbl_RAW_Variants" ref="B11:K12" headerRowCount="1">
  <autoFilter ref="B11:K12"/>
  <tableColumns count="10">
    <tableColumn id="2" name="VariantID"/>
    <tableColumn id="3" name="ProductID"/>
    <tableColumn id="4" name="SKU"/>
    <tableColumn id="5" name="Title"/>
    <tableColumn id="6" name="Price"/>
    <tableColumn id="7" name="CompareAtPrice"/>
    <tableColumn id="8" name="InventoryItemID"/>
    <tableColumn id="9" name="UnitCost"/>
    <tableColumn id="10" name="CreatedAt"/>
    <tableColumn id="11" name="UpdatedAt"/>
  </tableColumns>
  <tableStyleInfo name="TableStyleLight1" showFirstColumn="0" showLastColumn="0" showRowStripes="0" showColumnStripes="0"/>
</table>
</file>

<file path=xl/tables/table29.xml><?xml version="1.0" encoding="utf-8"?>
<table xmlns="http://schemas.openxmlformats.org/spreadsheetml/2006/main" id="29" name="tbl_RAW_InventoryLevels" displayName="tbl_RAW_InventoryLevels" ref="B11:F12" headerRowCount="1">
  <autoFilter ref="B11:F12"/>
  <tableColumns count="5">
    <tableColumn id="2" name="InventoryItemID"/>
    <tableColumn id="3" name="SKU"/>
    <tableColumn id="4" name="LocationID"/>
    <tableColumn id="5" name="Available"/>
    <tableColumn id="6" name="UpdatedAt"/>
  </tableColumns>
  <tableStyleInfo name="TableStyleLight1" showFirstColumn="0" showLastColumn="0" showRowStripes="0" showColumnStripes="0"/>
</table>
</file>

<file path=xl/tables/table30.xml><?xml version="1.0" encoding="utf-8"?>
<table xmlns="http://schemas.openxmlformats.org/spreadsheetml/2006/main" id="30" name="tbl_RAW_Customers" displayName="tbl_RAW_Customers" ref="B11:J12" headerRowCount="1">
  <autoFilter ref="B11:J12"/>
  <tableColumns count="9">
    <tableColumn id="2" name="CustomerID"/>
    <tableColumn id="3" name="FirstName"/>
    <tableColumn id="4" name="LastName"/>
    <tableColumn id="5" name="Email"/>
    <tableColumn id="6" name="CreatedAt"/>
    <tableColumn id="7" name="UpdatedAt"/>
    <tableColumn id="8" name="OrdersCount"/>
    <tableColumn id="9" name="TotalSpent"/>
    <tableColumn id="10" name="DefaultAddressCountry"/>
  </tableColumns>
  <tableStyleInfo name="TableStyleLight1" showFirstColumn="0" showLastColumn="0" showRowStripes="0" showColumnStripes="0"/>
</table>
</file>

<file path=xl/tables/table31.xml><?xml version="1.0" encoding="utf-8"?>
<table xmlns="http://schemas.openxmlformats.org/spreadsheetml/2006/main" id="31" name="tbl_RAW_Collections" displayName="tbl_RAW_Collections" ref="B11:D12" headerRowCount="1">
  <autoFilter ref="B11:D12"/>
  <tableColumns count="3">
    <tableColumn id="2" name="CollectionID"/>
    <tableColumn id="3" name="Title"/>
    <tableColumn id="4" name="Handle"/>
  </tableColumns>
  <tableStyleInfo name="TableStyleLight1" showFirstColumn="0" showLastColumn="0" showRowStripes="0" showColumnStripes="0"/>
</table>
</file>

<file path=xl/tables/table32.xml><?xml version="1.0" encoding="utf-8"?>
<table xmlns="http://schemas.openxmlformats.org/spreadsheetml/2006/main" id="32" name="tbl_RAW_Discounts" displayName="tbl_RAW_Discounts" ref="B11:M12" headerRowCount="1">
  <autoFilter ref="B11:M12"/>
  <tableColumns count="12">
    <tableColumn id="2" name="DiscountNodeID"/>
    <tableColumn id="3" name="Typename"/>
    <tableColumn id="4" name="Title"/>
    <tableColumn id="5" name="Status"/>
    <tableColumn id="6" name="Summary"/>
    <tableColumn id="7" name="Code"/>
    <tableColumn id="8" name="StartsAt"/>
    <tableColumn id="9" name="EndsAt"/>
    <tableColumn id="10" name="UsageLimit"/>
    <tableColumn id="11" name="AsyncUsageCount"/>
    <tableColumn id="12" name="CreatedAt"/>
    <tableColumn id="13" name="UpdatedAt"/>
  </tableColumns>
  <tableStyleInfo name="TableStyleLight1" showFirstColumn="0" showLastColumn="0" showRowStripes="0" showColumnStripes="0"/>
</table>
</file>

<file path=xl/tables/table33.xml><?xml version="1.0" encoding="utf-8"?>
<table xmlns="http://schemas.openxmlformats.org/spreadsheetml/2006/main" id="33" name="tbl_DIM_Date" displayName="tbl_DIM_Date" ref="B11:L12" headerRowCount="1">
  <autoFilter ref="B11:L12"/>
  <tableColumns count="11">
    <tableColumn id="2" name="DateKey"/>
    <tableColumn id="3" name="Date"/>
    <tableColumn id="4" name="Year"/>
    <tableColumn id="5" name="FiscalYear"/>
    <tableColumn id="6" name="Quarter"/>
    <tableColumn id="7" name="Month"/>
    <tableColumn id="8" name="MonthName"/>
    <tableColumn id="9" name="Week"/>
    <tableColumn id="10" name="Day"/>
    <tableColumn id="11" name="DayName"/>
    <tableColumn id="12" name="IsWeekend"/>
  </tableColumns>
  <tableStyleInfo name="TableStyleLight1" showFirstColumn="0" showLastColumn="0" showRowStripes="0" showColumnStripes="0"/>
</table>
</file>

<file path=xl/tables/table34.xml><?xml version="1.0" encoding="utf-8"?>
<table xmlns="http://schemas.openxmlformats.org/spreadsheetml/2006/main" id="34" name="tbl_DIM_Product" displayName="tbl_DIM_Product" ref="B11:J12" headerRowCount="1">
  <autoFilter ref="B11:J12"/>
  <tableColumns count="9">
    <tableColumn id="2" name="ProductKey"/>
    <tableColumn id="3" name="ProductID"/>
    <tableColumn id="4" name="SKU"/>
    <tableColumn id="5" name="Title"/>
    <tableColumn id="6" name="ProductType"/>
    <tableColumn id="7" name="Vendor"/>
    <tableColumn id="8" name="Collection"/>
    <tableColumn id="9" name="UnitCost"/>
    <tableColumn id="10" name="Status"/>
  </tableColumns>
  <tableStyleInfo name="TableStyleLight1" showFirstColumn="0" showLastColumn="0" showRowStripes="0" showColumnStripes="0"/>
</table>
</file>

<file path=xl/tables/table35.xml><?xml version="1.0" encoding="utf-8"?>
<table xmlns="http://schemas.openxmlformats.org/spreadsheetml/2006/main" id="35" name="tbl_DIM_Customer" displayName="tbl_DIM_Customer" ref="B11:H12" headerRowCount="1">
  <autoFilter ref="B11:H12"/>
  <tableColumns count="7">
    <tableColumn id="2" name="CustomerKey"/>
    <tableColumn id="3" name="CustomerID"/>
    <tableColumn id="4" name="Name"/>
    <tableColumn id="5" name="Email"/>
    <tableColumn id="6" name="Country"/>
    <tableColumn id="7" name="FirstOrderDate"/>
    <tableColumn id="8" name="CustomerSegment"/>
  </tableColumns>
  <tableStyleInfo name="TableStyleLight1" showFirstColumn="0" showLastColumn="0" showRowStripes="0" showColumnStripes="0"/>
</table>
</file>

<file path=xl/tables/table36.xml><?xml version="1.0" encoding="utf-8"?>
<table xmlns="http://schemas.openxmlformats.org/spreadsheetml/2006/main" id="36" name="tbl_DIM_Location" displayName="tbl_DIM_Location" ref="B11:F12" headerRowCount="1">
  <autoFilter ref="B11:F12"/>
  <tableColumns count="5">
    <tableColumn id="2" name="LocationKey"/>
    <tableColumn id="3" name="LocationID"/>
    <tableColumn id="4" name="LocationName"/>
    <tableColumn id="5" name="City"/>
    <tableColumn id="6" name="Country"/>
  </tableColumns>
  <tableStyleInfo name="TableStyleLight1" showFirstColumn="0" showLastColumn="0" showRowStripes="0" showColumnStripes="0"/>
</table>
</file>

<file path=xl/tables/table37.xml><?xml version="1.0" encoding="utf-8"?>
<table xmlns="http://schemas.openxmlformats.org/spreadsheetml/2006/main" id="37" name="tbl_DIM_Collection" displayName="tbl_DIM_Collection" ref="B11:E12" headerRowCount="1">
  <autoFilter ref="B11:E12"/>
  <tableColumns count="4">
    <tableColumn id="2" name="CollectionKey"/>
    <tableColumn id="3" name="CollectionID"/>
    <tableColumn id="4" name="Title"/>
    <tableColumn id="5" name="Handle"/>
  </tableColumns>
  <tableStyleInfo name="TableStyleLight1" showFirstColumn="0" showLastColumn="0" showRowStripes="0" showColumnStripes="0"/>
</table>
</file>

<file path=xl/tables/table38.xml><?xml version="1.0" encoding="utf-8"?>
<table xmlns="http://schemas.openxmlformats.org/spreadsheetml/2006/main" id="38" name="tbl_DIM_Parameters" displayName="tbl_DIM_Parameters" ref="B11:C12" headerRowCount="1">
  <autoFilter ref="B11:C12"/>
  <tableColumns count="2">
    <tableColumn id="2" name="ParameterName"/>
    <tableColumn id="3" name="ParameterValue"/>
  </tableColumns>
  <tableStyleInfo name="TableStyleLight1" showFirstColumn="0" showLastColumn="0" showRowStripes="0" showColumnStripes="0"/>
</table>
</file>

<file path=xl/tables/table39.xml><?xml version="1.0" encoding="utf-8"?>
<table xmlns="http://schemas.openxmlformats.org/spreadsheetml/2006/main" id="39" name="tbl_DIM_Supplier" displayName="tbl_DIM_Supplier" ref="B11:G12" headerRowCount="1">
  <autoFilter ref="B11:G12"/>
  <tableColumns count="6">
    <tableColumn id="2" name="SupplierKey"/>
    <tableColumn id="3" name="SupplierID"/>
    <tableColumn id="4" name="SupplierName"/>
    <tableColumn id="5" name="SupplierType"/>
    <tableColumn id="6" name="Currency"/>
    <tableColumn id="7" name="Status"/>
  </tableColumns>
  <tableStyleInfo name="TableStyleLight1" showFirstColumn="0" showLastColumn="0" showRowStripes="0" showColumnStripes="0"/>
</table>
</file>

<file path=xl/tables/table40.xml><?xml version="1.0" encoding="utf-8"?>
<table xmlns="http://schemas.openxmlformats.org/spreadsheetml/2006/main" id="40" name="tbl_DIM_ProductCostHistory" displayName="tbl_DIM_ProductCostHistory" ref="B11:J12" headerRowCount="1">
  <autoFilter ref="B11:J12"/>
  <tableColumns count="9">
    <tableColumn id="2" name="CostKey"/>
    <tableColumn id="3" name="SKU"/>
    <tableColumn id="4" name="Collection"/>
    <tableColumn id="5" name="TotalLandedCost"/>
    <tableColumn id="6" name="SellingPrice"/>
    <tableColumn id="7" name="ExpectedGrossMarginPct"/>
    <tableColumn id="8" name="EffectiveFromDate"/>
    <tableColumn id="9" name="EffectiveToDate"/>
    <tableColumn id="10" name="ActiveFlag"/>
  </tableColumns>
  <tableStyleInfo name="TableStyleLight1" showFirstColumn="0" showLastColumn="0" showRowStripes="0" showColumnStripes="0"/>
</table>
</file>

<file path=xl/tables/table41.xml><?xml version="1.0" encoding="utf-8"?>
<table xmlns="http://schemas.openxmlformats.org/spreadsheetml/2006/main" id="41" name="tbl_FACT_OrderLines" displayName="tbl_FACT_OrderLines" ref="B11:O12" headerRowCount="1">
  <autoFilter ref="B11:O12"/>
  <tableColumns count="14">
    <tableColumn id="2" name="OrderLineKey"/>
    <tableColumn id="3" name="OrderID"/>
    <tableColumn id="4" name="DateKey"/>
    <tableColumn id="5" name="ProductKey"/>
    <tableColumn id="6" name="CustomerKey"/>
    <tableColumn id="7" name="LocationKey"/>
    <tableColumn id="8" name="Quantity"/>
    <tableColumn id="9" name="UnitPrice"/>
    <tableColumn id="10" name="GrossAmount"/>
    <tableColumn id="11" name="DiscountAmount"/>
    <tableColumn id="12" name="TaxAmount"/>
    <tableColumn id="13" name="NetAmount"/>
    <tableColumn id="14" name="UnitCost"/>
    <tableColumn id="15" name="COGS"/>
  </tableColumns>
  <tableStyleInfo name="TableStyleLight1" showFirstColumn="0" showLastColumn="0" showRowStripes="0" showColumnStripes="0"/>
</table>
</file>

<file path=xl/tables/table42.xml><?xml version="1.0" encoding="utf-8"?>
<table xmlns="http://schemas.openxmlformats.org/spreadsheetml/2006/main" id="42" name="tbl_FACT_Refunds" displayName="tbl_FACT_Refunds" ref="B11:F12" headerRowCount="1">
  <autoFilter ref="B11:F12"/>
  <tableColumns count="5">
    <tableColumn id="2" name="RefundKey"/>
    <tableColumn id="3" name="OrderLineKey"/>
    <tableColumn id="4" name="DateKey"/>
    <tableColumn id="5" name="Quantity"/>
    <tableColumn id="6" name="RefundAmount"/>
  </tableColumns>
  <tableStyleInfo name="TableStyleLight1" showFirstColumn="0" showLastColumn="0" showRowStripes="0" showColumnStripes="0"/>
</table>
</file>

<file path=xl/tables/table43.xml><?xml version="1.0" encoding="utf-8"?>
<table xmlns="http://schemas.openxmlformats.org/spreadsheetml/2006/main" id="43" name="tbl_FACT_InventoryMovements" displayName="tbl_FACT_InventoryMovements" ref="B11:H12" headerRowCount="1">
  <autoFilter ref="B11:H12"/>
  <tableColumns count="7">
    <tableColumn id="2" name="MovementKey"/>
    <tableColumn id="3" name="DateKey"/>
    <tableColumn id="4" name="ProductKey"/>
    <tableColumn id="5" name="LocationKey"/>
    <tableColumn id="6" name="MovementType"/>
    <tableColumn id="7" name="QuantityChange"/>
    <tableColumn id="8" name="ResultingOnHand"/>
  </tableColumns>
  <tableStyleInfo name="TableStyleLight1" showFirstColumn="0" showLastColumn="0" showRowStripes="0" showColumnStripes="0"/>
</table>
</file>

<file path=xl/tables/table44.xml><?xml version="1.0" encoding="utf-8"?>
<table xmlns="http://schemas.openxmlformats.org/spreadsheetml/2006/main" id="44" name="tbl_FACT_Payments" displayName="tbl_FACT_Payments" ref="B11:H12" headerRowCount="1">
  <autoFilter ref="B11:H12"/>
  <tableColumns count="7">
    <tableColumn id="2" name="PaymentKey"/>
    <tableColumn id="3" name="OrderID"/>
    <tableColumn id="4" name="DateKey"/>
    <tableColumn id="5" name="PaymentMethod"/>
    <tableColumn id="6" name="Currency"/>
    <tableColumn id="7" name="Amount"/>
    <tableColumn id="8" name="PresentmentAmount"/>
  </tableColumns>
  <tableStyleInfo name="TableStyleLight1" showFirstColumn="0" showLastColumn="0" showRowStripes="0" showColumnStripes="0"/>
</table>
</file>

<file path=xl/tables/table45.xml><?xml version="1.0" encoding="utf-8"?>
<table xmlns="http://schemas.openxmlformats.org/spreadsheetml/2006/main" id="45" name="tbl_FACT_ManualExpenses" displayName="tbl_FACT_ManualExpenses" ref="B11:M12" headerRowCount="1">
  <autoFilter ref="B11:M12"/>
  <tableColumns count="12">
    <tableColumn id="2" name="ExpenseKey"/>
    <tableColumn id="3" name="ExpenseDate"/>
    <tableColumn id="4" name="ExpenseCategory"/>
    <tableColumn id="5" name="ExpenseSubcategory"/>
    <tableColumn id="6" name="SupplierID"/>
    <tableColumn id="7" name="Amount"/>
    <tableColumn id="8" name="Currency"/>
    <tableColumn id="9" name="PaymentMethod"/>
    <tableColumn id="10" name="RelatedCollection"/>
    <tableColumn id="11" name="RelatedSKU"/>
    <tableColumn id="12" name="CostCenter"/>
    <tableColumn id="13" name="InvoiceNumber"/>
  </tableColumns>
  <tableStyleInfo name="TableStyleLight1" showFirstColumn="0" showLastColumn="0" showRowStripes="0" showColumnStripes="0"/>
</table>
</file>

<file path=xl/tables/table46.xml><?xml version="1.0" encoding="utf-8"?>
<table xmlns="http://schemas.openxmlformats.org/spreadsheetml/2006/main" id="46" name="tbl_FACT_CapitalTransactions" displayName="tbl_FACT_CapitalTransactions" ref="B11:F12" headerRowCount="1">
  <autoFilter ref="B11:F12"/>
  <tableColumns count="5">
    <tableColumn id="2" name="CapitalKey"/>
    <tableColumn id="3" name="Date"/>
    <tableColumn id="4" name="Owner"/>
    <tableColumn id="5" name="TransactionType"/>
    <tableColumn id="6" name="Amount"/>
  </tableColumns>
  <tableStyleInfo name="TableStyleLight1" showFirstColumn="0" showLastColumn="0" showRowStripes="0" showColumnStripes="0"/>
</table>
</file>

<file path=xl/tables/table47.xml><?xml version="1.0" encoding="utf-8"?>
<table xmlns="http://schemas.openxmlformats.org/spreadsheetml/2006/main" id="47" name="tbl_FACT_PurchaseOrderHeader" displayName="tbl_FACT_PurchaseOrderHeader" ref="B11:G12" headerRowCount="1">
  <autoFilter ref="B11:G12"/>
  <tableColumns count="6">
    <tableColumn id="2" name="PONumber"/>
    <tableColumn id="3" name="SupplierID"/>
    <tableColumn id="4" name="OrderDate"/>
    <tableColumn id="5" name="ExpectedDeliveryDate"/>
    <tableColumn id="6" name="Status"/>
    <tableColumn id="7" name="Currency"/>
  </tableColumns>
  <tableStyleInfo name="TableStyleLight1" showFirstColumn="0" showLastColumn="0" showRowStripes="0" showColumnStripes="0"/>
</table>
</file>

<file path=xl/tables/table48.xml><?xml version="1.0" encoding="utf-8"?>
<table xmlns="http://schemas.openxmlformats.org/spreadsheetml/2006/main" id="48" name="tbl_FACT_PurchaseOrderLines" displayName="tbl_FACT_PurchaseOrderLines" ref="B11:F12" headerRowCount="1">
  <autoFilter ref="B11:F12"/>
  <tableColumns count="5">
    <tableColumn id="2" name="PONumber"/>
    <tableColumn id="3" name="SKU"/>
    <tableColumn id="4" name="QuantityOrdered"/>
    <tableColumn id="5" name="UnitCost"/>
    <tableColumn id="6" name="TotalCost"/>
  </tableColumns>
  <tableStyleInfo name="TableStyleLight1" showFirstColumn="0" showLastColumn="0" showRowStripes="0" showColumnStripes="0"/>
</table>
</file>

<file path=xl/tables/table49.xml><?xml version="1.0" encoding="utf-8"?>
<table xmlns="http://schemas.openxmlformats.org/spreadsheetml/2006/main" id="49" name="tbl_FACT_GoodsReceipt" displayName="tbl_FACT_GoodsReceipt" ref="B11:I12" headerRowCount="1">
  <autoFilter ref="B11:I12"/>
  <tableColumns count="8">
    <tableColumn id="2" name="PONumber"/>
    <tableColumn id="3" name="SKU"/>
    <tableColumn id="4" name="GoodsReceivedDate"/>
    <tableColumn id="5" name="QuantityReceived"/>
    <tableColumn id="6" name="RemainingQuantity"/>
    <tableColumn id="7" name="ActualUnitCost"/>
    <tableColumn id="8" name="VarianceFromPO"/>
    <tableColumn id="9" name="Warehouse"/>
  </tableColumns>
  <tableStyleInfo name="TableStyleLight1" showFirstColumn="0" showLastColumn="0" showRowStripes="0" showColumnStripes="0"/>
</table>
</file>

<file path=xl/tables/table50.xml><?xml version="1.0" encoding="utf-8"?>
<table xmlns="http://schemas.openxmlformats.org/spreadsheetml/2006/main" id="50" name="tbl_LOG_RefreshHistory" displayName="tbl_LOG_RefreshHistory" ref="B11:I12" headerRowCount="1">
  <autoFilter ref="B11:I12"/>
  <tableColumns count="8">
    <tableColumn id="2" name="RefreshID"/>
    <tableColumn id="3" name="Timestamp"/>
    <tableColumn id="4" name="Source"/>
    <tableColumn id="5" name="RowsLoaded"/>
    <tableColumn id="6" name="RowsUpdated"/>
    <tableColumn id="7" name="Errors"/>
    <tableColumn id="8" name="DurationSeconds"/>
    <tableColumn id="9" name="TriggeredBy"/>
  </tableColumns>
  <tableStyleInfo name="TableStyleLight1" showFirstColumn="0" showLastColumn="0" showRowStripes="0" showColumnStripes="0"/>
</table>
</file>

<file path=xl/tables/table51.xml><?xml version="1.0" encoding="utf-8"?>
<table xmlns="http://schemas.openxmlformats.org/spreadsheetml/2006/main" id="51" name="tbl_LOG_DataQuality" displayName="tbl_LOG_DataQuality" ref="B11:G12" headerRowCount="1">
  <autoFilter ref="B11:G12"/>
  <tableColumns count="6">
    <tableColumn id="2" name="CheckID"/>
    <tableColumn id="3" name="Timestamp"/>
    <tableColumn id="4" name="CheckName"/>
    <tableColumn id="5" name="TableName"/>
    <tableColumn id="6" name="Status"/>
    <tableColumn id="7" name="Detail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Partner_Dashboard'!A1" TargetMode="External" Id="rId1" /><Relationship Type="http://schemas.openxmlformats.org/officeDocument/2006/relationships/hyperlink" Target="#'03_CEO_Dashboard'!A1" TargetMode="External" Id="rId2" /><Relationship Type="http://schemas.openxmlformats.org/officeDocument/2006/relationships/hyperlink" Target="#'04_Sales'!A1" TargetMode="External" Id="rId3" /><Relationship Type="http://schemas.openxmlformats.org/officeDocument/2006/relationships/hyperlink" Target="#'05_Products'!A1" TargetMode="External" Id="rId4" /><Relationship Type="http://schemas.openxmlformats.org/officeDocument/2006/relationships/hyperlink" Target="#'06_Customers'!A1" TargetMode="External" Id="rId5" /><Relationship Type="http://schemas.openxmlformats.org/officeDocument/2006/relationships/hyperlink" Target="#'07_Inventory'!A1" TargetMode="External" Id="rId6" /><Relationship Type="http://schemas.openxmlformats.org/officeDocument/2006/relationships/hyperlink" Target="#'08_Finance'!A1" TargetMode="External" Id="rId7" /><Relationship Type="http://schemas.openxmlformats.org/officeDocument/2006/relationships/hyperlink" Target="#'09_Profitability'!A1" TargetMode="External" Id="rId8" /><Relationship Type="http://schemas.openxmlformats.org/officeDocument/2006/relationships/hyperlink" Target="#'10_Expenses'!A1" TargetMode="External" Id="rId9" /><Relationship Type="http://schemas.openxmlformats.org/officeDocument/2006/relationships/hyperlink" Target="#'11_Capital'!A1" TargetMode="External" Id="rId10" /><Relationship Type="http://schemas.openxmlformats.org/officeDocument/2006/relationships/hyperlink" Target="#'12_Suppliers'!A1" TargetMode="External" Id="rId11" /><Relationship Type="http://schemas.openxmlformats.org/officeDocument/2006/relationships/hyperlink" Target="#'13_Marketing'!A1" TargetMode="External" Id="rId12" /><Relationship Type="http://schemas.openxmlformats.org/officeDocument/2006/relationships/hyperlink" Target="#'14_Data_Quality'!A1" TargetMode="External" Id="rId13" /><Relationship Type="http://schemas.openxmlformats.org/officeDocument/2006/relationships/hyperlink" Target="#'15_Settings'!A1" TargetMode="External" Id="rId14"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10.xml.rels><Relationships xmlns="http://schemas.openxmlformats.org/package/2006/relationships"><Relationship Type="http://schemas.openxmlformats.org/officeDocument/2006/relationships/table" Target="/xl/tables/table2.xml" Id="rId1" /></Relationships>
</file>

<file path=xl/worksheets/_rels/sheet11.xml.rels><Relationships xmlns="http://schemas.openxmlformats.org/package/2006/relationships"><Relationship Type="http://schemas.openxmlformats.org/officeDocument/2006/relationships/table" Target="/xl/tables/table3.xml" Id="rId1" /></Relationships>
</file>

<file path=xl/worksheets/_rels/sheet12.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 Type="http://schemas.openxmlformats.org/officeDocument/2006/relationships/table" Target="/xl/tables/table6.xml" Id="rId3" /><Relationship Type="http://schemas.openxmlformats.org/officeDocument/2006/relationships/table" Target="/xl/tables/table7.xml" Id="rId4" /></Relationships>
</file>

<file path=xl/worksheets/_rels/sheet14.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5.xml.rels><Relationships xmlns="http://schemas.openxmlformats.org/package/2006/relationships"><Relationship Type="http://schemas.openxmlformats.org/officeDocument/2006/relationships/table" Target="/xl/tables/table10.xml" Id="rId1" /><Relationship Type="http://schemas.openxmlformats.org/officeDocument/2006/relationships/table" Target="/xl/tables/table11.xml" Id="rId2" /><Relationship Type="http://schemas.openxmlformats.org/officeDocument/2006/relationships/table" Target="/xl/tables/table12.xml" Id="rId3" /><Relationship Type="http://schemas.openxmlformats.org/officeDocument/2006/relationships/table" Target="/xl/tables/table13.xml" Id="rId4" /><Relationship Type="http://schemas.openxmlformats.org/officeDocument/2006/relationships/table" Target="/xl/tables/table14.xml" Id="rId5" /><Relationship Type="http://schemas.openxmlformats.org/officeDocument/2006/relationships/table" Target="/xl/tables/table15.xml" Id="rId6" /><Relationship Type="http://schemas.openxmlformats.org/officeDocument/2006/relationships/table" Target="/xl/tables/table16.xml" Id="rId7" /><Relationship Type="http://schemas.openxmlformats.org/officeDocument/2006/relationships/table" Target="/xl/tables/table17.xml" Id="rId8" /><Relationship Type="http://schemas.openxmlformats.org/officeDocument/2006/relationships/table" Target="/xl/tables/table18.xml" Id="rId9" /><Relationship Type="http://schemas.openxmlformats.org/officeDocument/2006/relationships/table" Target="/xl/tables/table19.xml" Id="rId10" /><Relationship Type="http://schemas.openxmlformats.org/officeDocument/2006/relationships/table" Target="/xl/tables/table20.xml" Id="rId11" /><Relationship Type="http://schemas.openxmlformats.org/officeDocument/2006/relationships/table" Target="/xl/tables/table21.xml" Id="rId12" /><Relationship Type="http://schemas.openxmlformats.org/officeDocument/2006/relationships/table" Target="/xl/tables/table22.xml" Id="rId13" /></Relationships>
</file>

<file path=xl/worksheets/_rels/sheet16.xml.rels><Relationships xmlns="http://schemas.openxmlformats.org/package/2006/relationships"><Relationship Type="http://schemas.openxmlformats.org/officeDocument/2006/relationships/table" Target="/xl/tables/table23.xml" Id="rId1" /></Relationships>
</file>

<file path=xl/worksheets/_rels/sheet17.xml.rels><Relationships xmlns="http://schemas.openxmlformats.org/package/2006/relationships"><Relationship Type="http://schemas.openxmlformats.org/officeDocument/2006/relationships/table" Target="/xl/tables/table24.xml" Id="rId1" /></Relationships>
</file>

<file path=xl/worksheets/_rels/sheet18.xml.rels><Relationships xmlns="http://schemas.openxmlformats.org/package/2006/relationships"><Relationship Type="http://schemas.openxmlformats.org/officeDocument/2006/relationships/table" Target="/xl/tables/table25.xml" Id="rId1" /></Relationships>
</file>

<file path=xl/worksheets/_rels/sheet19.xml.rels><Relationships xmlns="http://schemas.openxmlformats.org/package/2006/relationships"><Relationship Type="http://schemas.openxmlformats.org/officeDocument/2006/relationships/table" Target="/xl/tables/table26.xml" Id="rId1" /></Relationships>
</file>

<file path=xl/worksheets/_rels/sheet20.xml.rels><Relationships xmlns="http://schemas.openxmlformats.org/package/2006/relationships"><Relationship Type="http://schemas.openxmlformats.org/officeDocument/2006/relationships/table" Target="/xl/tables/table27.xml" Id="rId1" /></Relationships>
</file>

<file path=xl/worksheets/_rels/sheet21.xml.rels><Relationships xmlns="http://schemas.openxmlformats.org/package/2006/relationships"><Relationship Type="http://schemas.openxmlformats.org/officeDocument/2006/relationships/table" Target="/xl/tables/table28.xml" Id="rId1" /></Relationships>
</file>

<file path=xl/worksheets/_rels/sheet22.xml.rels><Relationships xmlns="http://schemas.openxmlformats.org/package/2006/relationships"><Relationship Type="http://schemas.openxmlformats.org/officeDocument/2006/relationships/table" Target="/xl/tables/table29.xml" Id="rId1" /></Relationships>
</file>

<file path=xl/worksheets/_rels/sheet23.xml.rels><Relationships xmlns="http://schemas.openxmlformats.org/package/2006/relationships"><Relationship Type="http://schemas.openxmlformats.org/officeDocument/2006/relationships/table" Target="/xl/tables/table30.xml" Id="rId1" /></Relationships>
</file>

<file path=xl/worksheets/_rels/sheet24.xml.rels><Relationships xmlns="http://schemas.openxmlformats.org/package/2006/relationships"><Relationship Type="http://schemas.openxmlformats.org/officeDocument/2006/relationships/table" Target="/xl/tables/table31.xml" Id="rId1" /></Relationships>
</file>

<file path=xl/worksheets/_rels/sheet25.xml.rels><Relationships xmlns="http://schemas.openxmlformats.org/package/2006/relationships"><Relationship Type="http://schemas.openxmlformats.org/officeDocument/2006/relationships/table" Target="/xl/tables/table32.xml" Id="rId1" /></Relationships>
</file>

<file path=xl/worksheets/_rels/sheet26.xml.rels><Relationships xmlns="http://schemas.openxmlformats.org/package/2006/relationships"><Relationship Type="http://schemas.openxmlformats.org/officeDocument/2006/relationships/table" Target="/xl/tables/table33.xml" Id="rId1" /></Relationships>
</file>

<file path=xl/worksheets/_rels/sheet27.xml.rels><Relationships xmlns="http://schemas.openxmlformats.org/package/2006/relationships"><Relationship Type="http://schemas.openxmlformats.org/officeDocument/2006/relationships/table" Target="/xl/tables/table34.xml" Id="rId1" /></Relationships>
</file>

<file path=xl/worksheets/_rels/sheet28.xml.rels><Relationships xmlns="http://schemas.openxmlformats.org/package/2006/relationships"><Relationship Type="http://schemas.openxmlformats.org/officeDocument/2006/relationships/table" Target="/xl/tables/table35.xml" Id="rId1" /></Relationships>
</file>

<file path=xl/worksheets/_rels/sheet29.xml.rels><Relationships xmlns="http://schemas.openxmlformats.org/package/2006/relationships"><Relationship Type="http://schemas.openxmlformats.org/officeDocument/2006/relationships/table" Target="/xl/tables/table36.xml" Id="rId1" /></Relationships>
</file>

<file path=xl/worksheets/_rels/sheet30.xml.rels><Relationships xmlns="http://schemas.openxmlformats.org/package/2006/relationships"><Relationship Type="http://schemas.openxmlformats.org/officeDocument/2006/relationships/table" Target="/xl/tables/table37.xml" Id="rId1" /></Relationships>
</file>

<file path=xl/worksheets/_rels/sheet31.xml.rels><Relationships xmlns="http://schemas.openxmlformats.org/package/2006/relationships"><Relationship Type="http://schemas.openxmlformats.org/officeDocument/2006/relationships/table" Target="/xl/tables/table38.xml" Id="rId1" /></Relationships>
</file>

<file path=xl/worksheets/_rels/sheet32.xml.rels><Relationships xmlns="http://schemas.openxmlformats.org/package/2006/relationships"><Relationship Type="http://schemas.openxmlformats.org/officeDocument/2006/relationships/table" Target="/xl/tables/table39.xml" Id="rId1" /></Relationships>
</file>

<file path=xl/worksheets/_rels/sheet33.xml.rels><Relationships xmlns="http://schemas.openxmlformats.org/package/2006/relationships"><Relationship Type="http://schemas.openxmlformats.org/officeDocument/2006/relationships/table" Target="/xl/tables/table40.xml" Id="rId1" /></Relationships>
</file>

<file path=xl/worksheets/_rels/sheet34.xml.rels><Relationships xmlns="http://schemas.openxmlformats.org/package/2006/relationships"><Relationship Type="http://schemas.openxmlformats.org/officeDocument/2006/relationships/table" Target="/xl/tables/table41.xml" Id="rId1" /></Relationships>
</file>

<file path=xl/worksheets/_rels/sheet35.xml.rels><Relationships xmlns="http://schemas.openxmlformats.org/package/2006/relationships"><Relationship Type="http://schemas.openxmlformats.org/officeDocument/2006/relationships/table" Target="/xl/tables/table42.xml" Id="rId1" /></Relationships>
</file>

<file path=xl/worksheets/_rels/sheet36.xml.rels><Relationships xmlns="http://schemas.openxmlformats.org/package/2006/relationships"><Relationship Type="http://schemas.openxmlformats.org/officeDocument/2006/relationships/table" Target="/xl/tables/table43.xml" Id="rId1" /></Relationships>
</file>

<file path=xl/worksheets/_rels/sheet37.xml.rels><Relationships xmlns="http://schemas.openxmlformats.org/package/2006/relationships"><Relationship Type="http://schemas.openxmlformats.org/officeDocument/2006/relationships/table" Target="/xl/tables/table44.xml" Id="rId1" /></Relationships>
</file>

<file path=xl/worksheets/_rels/sheet38.xml.rels><Relationships xmlns="http://schemas.openxmlformats.org/package/2006/relationships"><Relationship Type="http://schemas.openxmlformats.org/officeDocument/2006/relationships/table" Target="/xl/tables/table45.xml" Id="rId1" /></Relationships>
</file>

<file path=xl/worksheets/_rels/sheet39.xml.rels><Relationships xmlns="http://schemas.openxmlformats.org/package/2006/relationships"><Relationship Type="http://schemas.openxmlformats.org/officeDocument/2006/relationships/table" Target="/xl/tables/table46.xml" Id="rId1" /></Relationships>
</file>

<file path=xl/worksheets/_rels/sheet40.xml.rels><Relationships xmlns="http://schemas.openxmlformats.org/package/2006/relationships"><Relationship Type="http://schemas.openxmlformats.org/officeDocument/2006/relationships/table" Target="/xl/tables/table47.xml" Id="rId1" /></Relationships>
</file>

<file path=xl/worksheets/_rels/sheet41.xml.rels><Relationships xmlns="http://schemas.openxmlformats.org/package/2006/relationships"><Relationship Type="http://schemas.openxmlformats.org/officeDocument/2006/relationships/table" Target="/xl/tables/table48.xml" Id="rId1" /></Relationships>
</file>

<file path=xl/worksheets/_rels/sheet42.xml.rels><Relationships xmlns="http://schemas.openxmlformats.org/package/2006/relationships"><Relationship Type="http://schemas.openxmlformats.org/officeDocument/2006/relationships/table" Target="/xl/tables/table49.xml" Id="rId1" /></Relationships>
</file>

<file path=xl/worksheets/_rels/sheet43.xml.rels><Relationships xmlns="http://schemas.openxmlformats.org/package/2006/relationships"><Relationship Type="http://schemas.openxmlformats.org/officeDocument/2006/relationships/table" Target="/xl/tables/table50.xml" Id="rId1" /></Relationships>
</file>

<file path=xl/worksheets/_rels/sheet44.xml.rels><Relationships xmlns="http://schemas.openxmlformats.org/package/2006/relationships"><Relationship Type="http://schemas.openxmlformats.org/officeDocument/2006/relationships/table" Target="/xl/tables/table51.xml" Id="rId1" /></Relationships>
</file>

<file path=xl/worksheets/sheet1.xml><?xml version="1.0" encoding="utf-8"?>
<worksheet xmlns="http://schemas.openxmlformats.org/spreadsheetml/2006/main">
  <sheetPr>
    <tabColor rgb="00000000"/>
    <outlinePr applyStyles="1" summaryBelow="0" summaryRight="1"/>
    <pageSetUpPr/>
  </sheetPr>
  <dimension ref="A1:L29"/>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4" customHeight="1">
      <c r="A1" s="1" t="inlineStr">
        <is>
          <t>PASSRESS MIS — Home</t>
        </is>
      </c>
    </row>
    <row r="2" ht="16" customHeight="1">
      <c r="A2" s="2" t="inlineStr">
        <is>
          <t>PASSRESS MIS   |   Home ▸ PASSRESS MIS — Home</t>
        </is>
      </c>
    </row>
    <row r="3" ht="14" customHeight="1">
      <c r="A3" s="3" t="inlineStr">
        <is>
          <t>Sheet Documentation  (use the  +  outline control at left to expand)</t>
        </is>
      </c>
    </row>
    <row r="4" hidden="1" outlineLevel="1" ht="13" customHeight="1">
      <c r="A4" s="4" t="inlineStr">
        <is>
          <t>Purpose</t>
        </is>
      </c>
      <c r="B4" s="5" t="inlineStr">
        <is>
          <t>Landing page and navigation hub for the entire workbook.</t>
        </is>
      </c>
    </row>
    <row r="5" hidden="1" outlineLevel="1" ht="13" customHeight="1">
      <c r="A5" s="4" t="inlineStr">
        <is>
          <t>Input tables</t>
        </is>
      </c>
      <c r="B5" s="5" t="inlineStr">
        <is>
          <t>None — display only.</t>
        </is>
      </c>
    </row>
    <row r="6" hidden="1" outlineLevel="1" ht="13" customHeight="1">
      <c r="A6" s="4" t="inlineStr">
        <is>
          <t>Output tables</t>
        </is>
      </c>
      <c r="B6" s="5" t="inlineStr">
        <is>
          <t>None.</t>
        </is>
      </c>
    </row>
    <row r="7" hidden="1" outlineLevel="1" ht="13" customHeight="1">
      <c r="A7" s="4" t="inlineStr">
        <is>
          <t>Relationships</t>
        </is>
      </c>
      <c r="B7" s="5" t="inlineStr">
        <is>
          <t>Links to all 14 other visible sheets. Reads workbook status from LOG_RefreshHistory and LOG_DataQuality.</t>
        </is>
      </c>
    </row>
    <row r="8" hidden="1" outlineLevel="1" ht="13" customHeight="1">
      <c r="A8" s="4" t="inlineStr">
        <is>
          <t>Future data source</t>
        </is>
      </c>
      <c r="B8" s="5" t="inlineStr">
        <is>
          <t>LOG_RefreshHistory (last refresh timestamp), LOG_DataQuality (overall status) — wired in Phase 2/4.</t>
        </is>
      </c>
    </row>
    <row r="9" hidden="1" outlineLevel="1"/>
    <row r="10" ht="6" customHeight="1"/>
    <row r="11" ht="15" customHeight="1">
      <c r="B11" s="6" t="inlineStr">
        <is>
          <t>LAST REFRESH</t>
        </is>
      </c>
      <c r="C11" s="7" t="n"/>
      <c r="D11" s="6" t="inlineStr">
        <is>
          <t>DATA QUALITY</t>
        </is>
      </c>
      <c r="E11" s="7" t="n"/>
      <c r="F11" s="6" t="inlineStr">
        <is>
          <t>WORKBOOK VERSION</t>
        </is>
      </c>
      <c r="G11" s="7" t="n"/>
      <c r="H11" s="6" t="inlineStr">
        <is>
          <t>PHASE COMPLETED</t>
        </is>
      </c>
      <c r="I11" s="7" t="n"/>
    </row>
    <row r="12" ht="22" customHeight="1">
      <c r="B12" s="8" t="inlineStr">
        <is>
          <t>—</t>
        </is>
      </c>
      <c r="C12" s="7" t="n"/>
      <c r="D12" s="8" t="inlineStr">
        <is>
          <t>—</t>
        </is>
      </c>
      <c r="E12" s="7" t="n"/>
      <c r="F12" s="8">
        <f>INDEX(tbl_VersionLog[Version],COUNTA(tbl_VersionLog[Version]))</f>
        <v/>
      </c>
      <c r="G12" s="7" t="n"/>
      <c r="H12" s="9">
        <f>INDEX(tbl_VersionLog[Phase],COUNTA(tbl_VersionLog[Phase]))</f>
        <v/>
      </c>
      <c r="I12" s="7" t="n"/>
    </row>
    <row r="13" ht="22" customHeight="1">
      <c r="B13" s="7" t="n"/>
      <c r="C13" s="7" t="n"/>
      <c r="D13" s="7" t="n"/>
      <c r="E13" s="7" t="n"/>
      <c r="F13" s="7" t="n"/>
      <c r="G13" s="7" t="n"/>
      <c r="H13" s="7" t="n"/>
      <c r="I13" s="7" t="n"/>
    </row>
    <row r="15">
      <c r="B15" s="10" t="inlineStr">
        <is>
          <t>NAVIGATION</t>
        </is>
      </c>
    </row>
    <row r="16" ht="18" customHeight="1">
      <c r="B16" s="11" t="inlineStr">
        <is>
          <t>02
Partner Dashboard</t>
        </is>
      </c>
      <c r="C16" s="7" t="n"/>
      <c r="D16" s="11" t="inlineStr">
        <is>
          <t>03
CEO Dashboard</t>
        </is>
      </c>
      <c r="E16" s="7" t="n"/>
      <c r="F16" s="11" t="inlineStr">
        <is>
          <t>04
Sales</t>
        </is>
      </c>
      <c r="G16" s="7" t="n"/>
      <c r="H16" s="11" t="inlineStr">
        <is>
          <t>05
Products</t>
        </is>
      </c>
      <c r="I16" s="7" t="n"/>
    </row>
    <row r="17" ht="18" customHeight="1">
      <c r="B17" s="7" t="n"/>
      <c r="C17" s="7" t="n"/>
      <c r="D17" s="7" t="n"/>
      <c r="E17" s="7" t="n"/>
      <c r="F17" s="7" t="n"/>
      <c r="G17" s="7" t="n"/>
      <c r="H17" s="7" t="n"/>
      <c r="I17" s="7" t="n"/>
    </row>
    <row r="19" ht="18" customHeight="1">
      <c r="B19" s="11" t="inlineStr">
        <is>
          <t>06
Customers</t>
        </is>
      </c>
      <c r="C19" s="7" t="n"/>
      <c r="D19" s="11" t="inlineStr">
        <is>
          <t>07
Inventory</t>
        </is>
      </c>
      <c r="E19" s="7" t="n"/>
      <c r="F19" s="11" t="inlineStr">
        <is>
          <t>08
Finance</t>
        </is>
      </c>
      <c r="G19" s="7" t="n"/>
      <c r="H19" s="11" t="inlineStr">
        <is>
          <t>09
Profitability</t>
        </is>
      </c>
      <c r="I19" s="7" t="n"/>
    </row>
    <row r="20" ht="18" customHeight="1">
      <c r="B20" s="7" t="n"/>
      <c r="C20" s="7" t="n"/>
      <c r="D20" s="7" t="n"/>
      <c r="E20" s="7" t="n"/>
      <c r="F20" s="7" t="n"/>
      <c r="G20" s="7" t="n"/>
      <c r="H20" s="7" t="n"/>
      <c r="I20" s="7" t="n"/>
    </row>
    <row r="22" ht="18" customHeight="1">
      <c r="B22" s="11" t="inlineStr">
        <is>
          <t>10
Expenses</t>
        </is>
      </c>
      <c r="C22" s="7" t="n"/>
      <c r="D22" s="11" t="inlineStr">
        <is>
          <t>11
Capital</t>
        </is>
      </c>
      <c r="E22" s="7" t="n"/>
      <c r="F22" s="11" t="inlineStr">
        <is>
          <t>12
Suppliers</t>
        </is>
      </c>
      <c r="G22" s="7" t="n"/>
      <c r="H22" s="11" t="inlineStr">
        <is>
          <t>13
Marketing</t>
        </is>
      </c>
      <c r="I22" s="7" t="n"/>
    </row>
    <row r="23" ht="18" customHeight="1">
      <c r="B23" s="7" t="n"/>
      <c r="C23" s="7" t="n"/>
      <c r="D23" s="7" t="n"/>
      <c r="E23" s="7" t="n"/>
      <c r="F23" s="7" t="n"/>
      <c r="G23" s="7" t="n"/>
      <c r="H23" s="7" t="n"/>
      <c r="I23" s="7" t="n"/>
    </row>
    <row r="25" ht="18" customHeight="1">
      <c r="B25" s="11" t="inlineStr">
        <is>
          <t>14
Data Quality</t>
        </is>
      </c>
      <c r="C25" s="7" t="n"/>
      <c r="D25" s="11" t="inlineStr">
        <is>
          <t>15
Settings</t>
        </is>
      </c>
      <c r="E25" s="7" t="n"/>
    </row>
    <row r="26" ht="18" customHeight="1">
      <c r="B26" s="7" t="n"/>
      <c r="C26" s="7" t="n"/>
      <c r="D26" s="7" t="n"/>
      <c r="E26" s="7" t="n"/>
    </row>
    <row r="29">
      <c r="B29" s="12" t="inlineStr">
        <is>
          <t>Phase 1 build — structure only. No live Shopify data, no calculations, no DAX measures yet. See 15_Settings for workbook version and roadmap.</t>
        </is>
      </c>
    </row>
  </sheetData>
  <sheetProtection selectLockedCells="0" selectUnlockedCells="0" sheet="1" objects="0" insertRows="0" insertHyperlinks="1" autoFilter="1" scenarios="0" formatColumns="0" deleteColumns="0" insertColumns="0" pivotTables="0" deleteRows="0" formatCells="0" formatRows="0" sort="1" password="C24F"/>
  <mergeCells count="30">
    <mergeCell ref="B4:L4"/>
    <mergeCell ref="F11:G11"/>
    <mergeCell ref="F22:G23"/>
    <mergeCell ref="D16:E17"/>
    <mergeCell ref="H22:I23"/>
    <mergeCell ref="B7:L7"/>
    <mergeCell ref="B19:C20"/>
    <mergeCell ref="D12:E13"/>
    <mergeCell ref="H19:I20"/>
    <mergeCell ref="A3:L3"/>
    <mergeCell ref="H16:I17"/>
    <mergeCell ref="A2:L2"/>
    <mergeCell ref="D25:E26"/>
    <mergeCell ref="H12:I13"/>
    <mergeCell ref="B11:C11"/>
    <mergeCell ref="D11:E11"/>
    <mergeCell ref="D19:E20"/>
    <mergeCell ref="F19:G20"/>
    <mergeCell ref="B8:L8"/>
    <mergeCell ref="H11:I11"/>
    <mergeCell ref="B22:C23"/>
    <mergeCell ref="B16:C17"/>
    <mergeCell ref="B25:C26"/>
    <mergeCell ref="F16:G17"/>
    <mergeCell ref="D22:E23"/>
    <mergeCell ref="B12:C13"/>
    <mergeCell ref="B6:L6"/>
    <mergeCell ref="F12:G13"/>
    <mergeCell ref="A1:L1"/>
    <mergeCell ref="B5:L5"/>
  </mergeCells>
  <hyperlinks>
    <hyperlink xmlns:r="http://schemas.openxmlformats.org/officeDocument/2006/relationships" ref="B16" r:id="rId1"/>
    <hyperlink xmlns:r="http://schemas.openxmlformats.org/officeDocument/2006/relationships" ref="D16" r:id="rId2"/>
    <hyperlink xmlns:r="http://schemas.openxmlformats.org/officeDocument/2006/relationships" ref="F16" r:id="rId3"/>
    <hyperlink xmlns:r="http://schemas.openxmlformats.org/officeDocument/2006/relationships" ref="H16" r:id="rId4"/>
    <hyperlink xmlns:r="http://schemas.openxmlformats.org/officeDocument/2006/relationships" ref="B19" r:id="rId5"/>
    <hyperlink xmlns:r="http://schemas.openxmlformats.org/officeDocument/2006/relationships" ref="D19" r:id="rId6"/>
    <hyperlink xmlns:r="http://schemas.openxmlformats.org/officeDocument/2006/relationships" ref="F19" r:id="rId7"/>
    <hyperlink xmlns:r="http://schemas.openxmlformats.org/officeDocument/2006/relationships" ref="H19" r:id="rId8"/>
    <hyperlink xmlns:r="http://schemas.openxmlformats.org/officeDocument/2006/relationships" ref="B22" r:id="rId9"/>
    <hyperlink xmlns:r="http://schemas.openxmlformats.org/officeDocument/2006/relationships" ref="D22" r:id="rId10"/>
    <hyperlink xmlns:r="http://schemas.openxmlformats.org/officeDocument/2006/relationships" ref="F22" r:id="rId11"/>
    <hyperlink xmlns:r="http://schemas.openxmlformats.org/officeDocument/2006/relationships" ref="H22" r:id="rId12"/>
    <hyperlink xmlns:r="http://schemas.openxmlformats.org/officeDocument/2006/relationships" ref="B25" r:id="rId13"/>
    <hyperlink xmlns:r="http://schemas.openxmlformats.org/officeDocument/2006/relationships" ref="D25" r:id="rId14"/>
  </hyperlinks>
  <pageMargins left="0.75" right="0.75" top="1" bottom="1" header="0.5" footer="0.5"/>
</worksheet>
</file>

<file path=xl/worksheets/sheet2.xml><?xml version="1.0" encoding="utf-8"?>
<worksheet xmlns="http://schemas.openxmlformats.org/spreadsheetml/2006/main">
  <sheetPr>
    <tabColor rgb="001F4E78"/>
    <outlinePr applyStyles="1" summaryBelow="0" summaryRight="1"/>
    <pageSetUpPr/>
  </sheetPr>
  <dimension ref="A1:M46"/>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Partner Dashboard</t>
        </is>
      </c>
    </row>
    <row r="2" ht="16" customHeight="1">
      <c r="A2" s="2" t="inlineStr">
        <is>
          <t>PASSRESS MIS   |   Home ▸ Partner Dashboard</t>
        </is>
      </c>
    </row>
    <row r="3" ht="14" customHeight="1">
      <c r="A3" s="3" t="inlineStr">
        <is>
          <t>Sheet Documentation  (use the  +  outline control at left to expand)</t>
        </is>
      </c>
    </row>
    <row r="4" hidden="1" outlineLevel="1" ht="13" customHeight="1">
      <c r="A4" s="4" t="inlineStr">
        <is>
          <t>Purpose</t>
        </is>
      </c>
      <c r="B4" s="5" t="inlineStr">
        <is>
          <t>Consolidated, high-level view for business partners — financial and operational health at a glance, no drill-down detail.</t>
        </is>
      </c>
    </row>
    <row r="5" hidden="1" outlineLevel="1" ht="13" customHeight="1">
      <c r="A5" s="4" t="inlineStr">
        <is>
          <t>Input tables</t>
        </is>
      </c>
      <c r="B5" s="5" t="inlineStr">
        <is>
          <t>FACT_OrderLines, FACT_Refunds, FACT_ManualExpenses, FACT_Payments (via Data Model, Phase 3).</t>
        </is>
      </c>
    </row>
    <row r="6" hidden="1" outlineLevel="1" ht="13" customHeight="1">
      <c r="A6" s="4" t="inlineStr">
        <is>
          <t>Output tables</t>
        </is>
      </c>
      <c r="B6" s="5" t="inlineStr">
        <is>
          <t>KPI summary, trend chart, expense breakdown chart.</t>
        </is>
      </c>
    </row>
    <row r="7" hidden="1" outlineLevel="1" ht="13" customHeight="1">
      <c r="A7" s="4" t="inlineStr">
        <is>
          <t>Relationships</t>
        </is>
      </c>
      <c r="B7" s="5" t="inlineStr">
        <is>
          <t>Data Model star schema (DIM_Date, DIM_Product) — Phase 3.</t>
        </is>
      </c>
    </row>
    <row r="8" hidden="1" outlineLevel="1" ht="13" customHeight="1">
      <c r="A8" s="4" t="inlineStr">
        <is>
          <t>Future data source</t>
        </is>
      </c>
      <c r="B8" s="5" t="inlineStr">
        <is>
          <t>Power Pivot Data Model measures — Phase 3/4.</t>
        </is>
      </c>
    </row>
    <row r="9" hidden="1" outlineLevel="1"/>
    <row r="10" ht="6" customHeight="1"/>
    <row r="11" ht="15" customHeight="1">
      <c r="B11" s="6" t="inlineStr">
        <is>
          <t>NET SALES</t>
        </is>
      </c>
      <c r="C11" s="7" t="n"/>
      <c r="D11" s="6" t="inlineStr">
        <is>
          <t>GROSS MARGIN %</t>
        </is>
      </c>
      <c r="E11" s="7" t="n"/>
      <c r="F11" s="6" t="inlineStr">
        <is>
          <t>NET PROFIT</t>
        </is>
      </c>
      <c r="G11" s="7" t="n"/>
      <c r="H11" s="6" t="inlineStr">
        <is>
          <t>CASH POSITION</t>
        </is>
      </c>
      <c r="I11" s="7" t="n"/>
      <c r="J11" s="6" t="inlineStr">
        <is>
          <t>INVENTORY VALUE</t>
        </is>
      </c>
      <c r="K11" s="7" t="n"/>
      <c r="L11" s="6" t="inlineStr">
        <is>
          <t>CAPITAL INVESTED</t>
        </is>
      </c>
      <c r="M11" s="7" t="n"/>
    </row>
    <row r="12" ht="22" customHeight="1">
      <c r="B12" s="8" t="inlineStr">
        <is>
          <t>—</t>
        </is>
      </c>
      <c r="C12" s="7" t="n"/>
      <c r="D12" s="8" t="inlineStr">
        <is>
          <t>—</t>
        </is>
      </c>
      <c r="E12" s="7" t="n"/>
      <c r="F12" s="8" t="inlineStr">
        <is>
          <t>—</t>
        </is>
      </c>
      <c r="G12" s="7" t="n"/>
      <c r="H12" s="8" t="inlineStr">
        <is>
          <t>—</t>
        </is>
      </c>
      <c r="I12" s="7" t="n"/>
      <c r="J12" s="8" t="inlineStr">
        <is>
          <t>—</t>
        </is>
      </c>
      <c r="K12" s="7" t="n"/>
      <c r="L12" s="8" t="inlineStr">
        <is>
          <t>—</t>
        </is>
      </c>
      <c r="M12" s="7" t="n"/>
    </row>
    <row r="13" ht="22" customHeight="1">
      <c r="B13" s="7" t="n"/>
      <c r="C13" s="7" t="n"/>
      <c r="D13" s="7" t="n"/>
      <c r="E13" s="7" t="n"/>
      <c r="F13" s="7" t="n"/>
      <c r="G13" s="7" t="n"/>
      <c r="H13" s="7" t="n"/>
      <c r="I13" s="7" t="n"/>
      <c r="J13" s="7" t="n"/>
      <c r="K13" s="7" t="n"/>
      <c r="L13" s="7" t="n"/>
      <c r="M13" s="7" t="n"/>
    </row>
    <row r="16">
      <c r="B16" s="10" t="inlineStr">
        <is>
          <t>TRENDS &amp; BREAKDOWNS</t>
        </is>
      </c>
    </row>
    <row r="17">
      <c r="B17" s="13" t="inlineStr">
        <is>
          <t>[ Revenue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6">
      <c r="B26" s="13" t="inlineStr">
        <is>
          <t>[ Expense Breakdown (Chart)  —  Placeholder, built in Phase 4 ]</t>
        </is>
      </c>
      <c r="C26" s="14" t="n"/>
      <c r="D26" s="14" t="n"/>
      <c r="E26" s="14" t="n"/>
      <c r="F26" s="14" t="n"/>
      <c r="G26" s="14" t="n"/>
      <c r="H26" s="14" t="n"/>
      <c r="I26" s="14" t="n"/>
      <c r="J26" s="14" t="n"/>
      <c r="K26" s="14" t="n"/>
    </row>
    <row r="27">
      <c r="B27" s="14" t="n"/>
      <c r="C27" s="14" t="n"/>
      <c r="D27" s="14" t="n"/>
      <c r="E27" s="14" t="n"/>
      <c r="F27" s="14" t="n"/>
      <c r="G27" s="14" t="n"/>
      <c r="H27" s="14" t="n"/>
      <c r="I27" s="14" t="n"/>
      <c r="J27" s="14" t="n"/>
      <c r="K27" s="14" t="n"/>
    </row>
    <row r="28">
      <c r="B28" s="14" t="n"/>
      <c r="C28" s="14" t="n"/>
      <c r="D28" s="14" t="n"/>
      <c r="E28" s="14" t="n"/>
      <c r="F28" s="14" t="n"/>
      <c r="G28" s="14" t="n"/>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6">
      <c r="B36" s="10" t="inlineStr">
        <is>
          <t>DETAIL (PIVOTTABLES)</t>
        </is>
      </c>
    </row>
    <row r="37">
      <c r="B37" s="13" t="inlineStr">
        <is>
          <t>[ Financial Summary (PivotTable)  —  Placeholder, built in Phase 4 ]</t>
        </is>
      </c>
      <c r="C37" s="14" t="n"/>
      <c r="D37" s="14" t="n"/>
      <c r="E37" s="14" t="n"/>
      <c r="F37" s="14" t="n"/>
    </row>
    <row r="38">
      <c r="B38" s="14" t="n"/>
      <c r="C38" s="14" t="n"/>
      <c r="D38" s="14" t="n"/>
      <c r="E38" s="14" t="n"/>
      <c r="F38" s="14" t="n"/>
    </row>
    <row r="39">
      <c r="B39" s="14" t="n"/>
      <c r="C39" s="14" t="n"/>
      <c r="D39" s="14" t="n"/>
      <c r="E39" s="14" t="n"/>
      <c r="F39" s="14" t="n"/>
    </row>
    <row r="40">
      <c r="B40" s="14" t="n"/>
      <c r="C40" s="14" t="n"/>
      <c r="D40" s="14" t="n"/>
      <c r="E40" s="14" t="n"/>
      <c r="F40" s="14" t="n"/>
    </row>
    <row r="41">
      <c r="B41" s="14" t="n"/>
      <c r="C41" s="14" t="n"/>
      <c r="D41" s="14" t="n"/>
      <c r="E41" s="14" t="n"/>
      <c r="F41" s="14" t="n"/>
    </row>
    <row r="42">
      <c r="B42" s="14" t="n"/>
      <c r="C42" s="14" t="n"/>
      <c r="D42" s="14" t="n"/>
      <c r="E42" s="14" t="n"/>
      <c r="F42" s="14" t="n"/>
    </row>
    <row r="43">
      <c r="B43" s="14" t="n"/>
      <c r="C43" s="14" t="n"/>
      <c r="D43" s="14" t="n"/>
      <c r="E43" s="14" t="n"/>
      <c r="F43" s="14" t="n"/>
    </row>
    <row r="44">
      <c r="B44" s="14" t="n"/>
      <c r="C44" s="14" t="n"/>
      <c r="D44" s="14" t="n"/>
      <c r="E44" s="14" t="n"/>
      <c r="F44" s="14" t="n"/>
    </row>
    <row r="45">
      <c r="B45" s="14" t="n"/>
      <c r="C45" s="14" t="n"/>
      <c r="D45" s="14" t="n"/>
      <c r="E45" s="14" t="n"/>
      <c r="F45" s="14" t="n"/>
    </row>
    <row r="46">
      <c r="B46" s="14" t="n"/>
      <c r="C46" s="14" t="n"/>
      <c r="D46" s="14" t="n"/>
      <c r="E46" s="14" t="n"/>
      <c r="F46" s="14" t="n"/>
    </row>
  </sheetData>
  <sheetProtection selectLockedCells="0" selectUnlockedCells="0" sheet="1" objects="0" insertRows="0" insertHyperlinks="1" autoFilter="1" scenarios="0" formatColumns="0" deleteColumns="0" insertColumns="0" pivotTables="0" deleteRows="0" formatCells="0" formatRows="0" sort="1" password="C24F"/>
  <mergeCells count="23">
    <mergeCell ref="B4:L4"/>
    <mergeCell ref="F11:G11"/>
    <mergeCell ref="B7:L7"/>
    <mergeCell ref="B26:K33"/>
    <mergeCell ref="D12:E13"/>
    <mergeCell ref="A3:L3"/>
    <mergeCell ref="A2:L2"/>
    <mergeCell ref="H12:I13"/>
    <mergeCell ref="B11:C11"/>
    <mergeCell ref="J12:K13"/>
    <mergeCell ref="D11:E11"/>
    <mergeCell ref="B8:L8"/>
    <mergeCell ref="H11:I11"/>
    <mergeCell ref="J11:K11"/>
    <mergeCell ref="B37:F46"/>
    <mergeCell ref="B17:K24"/>
    <mergeCell ref="B12:C13"/>
    <mergeCell ref="B6:L6"/>
    <mergeCell ref="F12:G13"/>
    <mergeCell ref="L12:M13"/>
    <mergeCell ref="A1:L1"/>
    <mergeCell ref="B5:L5"/>
    <mergeCell ref="L11:M11"/>
  </mergeCells>
  <pageMargins left="0.75" right="0.75" top="1" bottom="1" header="0.5" footer="0.5"/>
</worksheet>
</file>

<file path=xl/worksheets/sheet3.xml><?xml version="1.0" encoding="utf-8"?>
<worksheet xmlns="http://schemas.openxmlformats.org/spreadsheetml/2006/main">
  <sheetPr>
    <tabColor rgb="001F4E78"/>
    <outlinePr applyStyles="1" summaryBelow="0" summaryRight="1"/>
    <pageSetUpPr/>
  </sheetPr>
  <dimension ref="A1:Q64"/>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CEO Dashboard</t>
        </is>
      </c>
    </row>
    <row r="2" ht="16" customHeight="1">
      <c r="A2" s="2" t="inlineStr">
        <is>
          <t>PASSRESS MIS   |   Home ▸ CEO Dashboard</t>
        </is>
      </c>
    </row>
    <row r="3" ht="14" customHeight="1">
      <c r="A3" s="3" t="inlineStr">
        <is>
          <t>Sheet Documentation  (use the  +  outline control at left to expand)</t>
        </is>
      </c>
    </row>
    <row r="4" hidden="1" outlineLevel="1" ht="13" customHeight="1">
      <c r="A4" s="4" t="inlineStr">
        <is>
          <t>Purpose</t>
        </is>
      </c>
      <c r="B4" s="5" t="inlineStr">
        <is>
          <t>Executive operational + strategic overview — broader KPI set and more granularity than the Partner view.</t>
        </is>
      </c>
    </row>
    <row r="5" hidden="1" outlineLevel="1" ht="13" customHeight="1">
      <c r="A5" s="4" t="inlineStr">
        <is>
          <t>Input tables</t>
        </is>
      </c>
      <c r="B5" s="5" t="inlineStr">
        <is>
          <t>FACT_OrderLines, FACT_Refunds, DIM_Product, DIM_Collection, DIM_Customer (via Data Model, Phase 3).</t>
        </is>
      </c>
    </row>
    <row r="6" hidden="1" outlineLevel="1" ht="13" customHeight="1">
      <c r="A6" s="4" t="inlineStr">
        <is>
          <t>Output tables</t>
        </is>
      </c>
      <c r="B6" s="5" t="inlineStr">
        <is>
          <t>KPI summary, sales trend, product/collection breakdown, channel/geography chart.</t>
        </is>
      </c>
    </row>
    <row r="7" hidden="1" outlineLevel="1" ht="13" customHeight="1">
      <c r="A7" s="4" t="inlineStr">
        <is>
          <t>Relationships</t>
        </is>
      </c>
      <c r="B7" s="5" t="inlineStr">
        <is>
          <t>Data Model star schema — Phase 3.</t>
        </is>
      </c>
    </row>
    <row r="8" hidden="1" outlineLevel="1" ht="13" customHeight="1">
      <c r="A8" s="4" t="inlineStr">
        <is>
          <t>Future data source</t>
        </is>
      </c>
      <c r="B8" s="5" t="inlineStr">
        <is>
          <t>Power Pivot Data Model measures — Phase 3/4.</t>
        </is>
      </c>
    </row>
    <row r="9" hidden="1" outlineLevel="1"/>
    <row r="10" ht="6" customHeight="1"/>
    <row r="11" ht="15" customHeight="1">
      <c r="B11" s="6" t="inlineStr">
        <is>
          <t>NET SALES</t>
        </is>
      </c>
      <c r="C11" s="7" t="n"/>
      <c r="D11" s="6" t="inlineStr">
        <is>
          <t>ORDERS</t>
        </is>
      </c>
      <c r="E11" s="7" t="n"/>
      <c r="F11" s="6" t="inlineStr">
        <is>
          <t>AOV</t>
        </is>
      </c>
      <c r="G11" s="7" t="n"/>
      <c r="H11" s="6" t="inlineStr">
        <is>
          <t>GROSS MARGIN %</t>
        </is>
      </c>
      <c r="I11" s="7" t="n"/>
      <c r="J11" s="6" t="inlineStr">
        <is>
          <t>RETURN RATE</t>
        </is>
      </c>
      <c r="K11" s="7" t="n"/>
      <c r="L11" s="6" t="inlineStr">
        <is>
          <t>INVENTORY TURNS</t>
        </is>
      </c>
      <c r="M11" s="7" t="n"/>
      <c r="N11" s="6" t="inlineStr">
        <is>
          <t>CUSTOMERS</t>
        </is>
      </c>
      <c r="O11" s="7" t="n"/>
      <c r="P11" s="6" t="inlineStr">
        <is>
          <t>NEW VS RETURNING %</t>
        </is>
      </c>
      <c r="Q11" s="7" t="n"/>
    </row>
    <row r="12" ht="22" customHeight="1">
      <c r="B12" s="8" t="inlineStr">
        <is>
          <t>—</t>
        </is>
      </c>
      <c r="C12" s="7" t="n"/>
      <c r="D12" s="8" t="inlineStr">
        <is>
          <t>—</t>
        </is>
      </c>
      <c r="E12" s="7" t="n"/>
      <c r="F12" s="8" t="inlineStr">
        <is>
          <t>—</t>
        </is>
      </c>
      <c r="G12" s="7" t="n"/>
      <c r="H12" s="8" t="inlineStr">
        <is>
          <t>—</t>
        </is>
      </c>
      <c r="I12" s="7" t="n"/>
      <c r="J12" s="8" t="inlineStr">
        <is>
          <t>—</t>
        </is>
      </c>
      <c r="K12" s="7" t="n"/>
      <c r="L12" s="8" t="inlineStr">
        <is>
          <t>—</t>
        </is>
      </c>
      <c r="M12" s="7" t="n"/>
      <c r="N12" s="8" t="inlineStr">
        <is>
          <t>—</t>
        </is>
      </c>
      <c r="O12" s="7" t="n"/>
      <c r="P12" s="8" t="inlineStr">
        <is>
          <t>—</t>
        </is>
      </c>
      <c r="Q12" s="7" t="n"/>
    </row>
    <row r="13" ht="22" customHeight="1">
      <c r="B13" s="7" t="n"/>
      <c r="C13" s="7" t="n"/>
      <c r="D13" s="7" t="n"/>
      <c r="E13" s="7" t="n"/>
      <c r="F13" s="7" t="n"/>
      <c r="G13" s="7" t="n"/>
      <c r="H13" s="7" t="n"/>
      <c r="I13" s="7" t="n"/>
      <c r="J13" s="7" t="n"/>
      <c r="K13" s="7" t="n"/>
      <c r="L13" s="7" t="n"/>
      <c r="M13" s="7" t="n"/>
      <c r="N13" s="7" t="n"/>
      <c r="O13" s="7" t="n"/>
      <c r="P13" s="7" t="n"/>
      <c r="Q13" s="7" t="n"/>
    </row>
    <row r="16">
      <c r="B16" s="10" t="inlineStr">
        <is>
          <t>TRENDS &amp; BREAKDOWNS</t>
        </is>
      </c>
    </row>
    <row r="17">
      <c r="B17" s="13" t="inlineStr">
        <is>
          <t>[ Sales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6">
      <c r="B26" s="13" t="inlineStr">
        <is>
          <t>[ Sales by Collection (Chart)  —  Placeholder, built in Phase 4 ]</t>
        </is>
      </c>
      <c r="C26" s="14" t="n"/>
      <c r="D26" s="14" t="n"/>
      <c r="E26" s="14" t="n"/>
      <c r="F26" s="14" t="n"/>
      <c r="G26" s="14" t="n"/>
      <c r="H26" s="14" t="n"/>
      <c r="I26" s="14" t="n"/>
      <c r="J26" s="14" t="n"/>
      <c r="K26" s="14" t="n"/>
    </row>
    <row r="27">
      <c r="B27" s="14" t="n"/>
      <c r="C27" s="14" t="n"/>
      <c r="D27" s="14" t="n"/>
      <c r="E27" s="14" t="n"/>
      <c r="F27" s="14" t="n"/>
      <c r="G27" s="14" t="n"/>
      <c r="H27" s="14" t="n"/>
      <c r="I27" s="14" t="n"/>
      <c r="J27" s="14" t="n"/>
      <c r="K27" s="14" t="n"/>
    </row>
    <row r="28">
      <c r="B28" s="14" t="n"/>
      <c r="C28" s="14" t="n"/>
      <c r="D28" s="14" t="n"/>
      <c r="E28" s="14" t="n"/>
      <c r="F28" s="14" t="n"/>
      <c r="G28" s="14" t="n"/>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5">
      <c r="B35" s="13" t="inlineStr">
        <is>
          <t>[ Top Products (Chart)  —  Placeholder, built in Phase 4 ]</t>
        </is>
      </c>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row r="38">
      <c r="B38" s="14" t="n"/>
      <c r="C38" s="14" t="n"/>
      <c r="D38" s="14" t="n"/>
      <c r="E38" s="14" t="n"/>
      <c r="F38" s="14" t="n"/>
      <c r="G38" s="14" t="n"/>
      <c r="H38" s="14" t="n"/>
      <c r="I38" s="14" t="n"/>
      <c r="J38" s="14" t="n"/>
      <c r="K38" s="14" t="n"/>
    </row>
    <row r="39">
      <c r="B39" s="14" t="n"/>
      <c r="C39" s="14" t="n"/>
      <c r="D39" s="14" t="n"/>
      <c r="E39" s="14" t="n"/>
      <c r="F39" s="14" t="n"/>
      <c r="G39" s="14" t="n"/>
      <c r="H39" s="14" t="n"/>
      <c r="I39" s="14" t="n"/>
      <c r="J39" s="14" t="n"/>
      <c r="K39" s="14" t="n"/>
    </row>
    <row r="40">
      <c r="B40" s="14" t="n"/>
      <c r="C40" s="14" t="n"/>
      <c r="D40" s="14" t="n"/>
      <c r="E40" s="14" t="n"/>
      <c r="F40" s="14" t="n"/>
      <c r="G40" s="14" t="n"/>
      <c r="H40" s="14" t="n"/>
      <c r="I40" s="14" t="n"/>
      <c r="J40" s="14" t="n"/>
      <c r="K40" s="14" t="n"/>
    </row>
    <row r="41">
      <c r="B41" s="14" t="n"/>
      <c r="C41" s="14" t="n"/>
      <c r="D41" s="14" t="n"/>
      <c r="E41" s="14" t="n"/>
      <c r="F41" s="14" t="n"/>
      <c r="G41" s="14" t="n"/>
      <c r="H41" s="14" t="n"/>
      <c r="I41" s="14" t="n"/>
      <c r="J41" s="14" t="n"/>
      <c r="K41" s="14" t="n"/>
    </row>
    <row r="42">
      <c r="B42" s="14" t="n"/>
      <c r="C42" s="14" t="n"/>
      <c r="D42" s="14" t="n"/>
      <c r="E42" s="14" t="n"/>
      <c r="F42" s="14" t="n"/>
      <c r="G42" s="14" t="n"/>
      <c r="H42" s="14" t="n"/>
      <c r="I42" s="14" t="n"/>
      <c r="J42" s="14" t="n"/>
      <c r="K42" s="14" t="n"/>
    </row>
    <row r="44">
      <c r="B44" s="13" t="inlineStr">
        <is>
          <t>[ Geography (Chart)  —  Placeholder, built in Phase 4 ]</t>
        </is>
      </c>
      <c r="C44" s="14" t="n"/>
      <c r="D44" s="14" t="n"/>
      <c r="E44" s="14" t="n"/>
      <c r="F44" s="14" t="n"/>
      <c r="G44" s="14" t="n"/>
      <c r="H44" s="14" t="n"/>
      <c r="I44" s="14" t="n"/>
      <c r="J44" s="14" t="n"/>
      <c r="K44" s="14" t="n"/>
    </row>
    <row r="45">
      <c r="B45" s="14" t="n"/>
      <c r="C45" s="14" t="n"/>
      <c r="D45" s="14" t="n"/>
      <c r="E45" s="14" t="n"/>
      <c r="F45" s="14" t="n"/>
      <c r="G45" s="14" t="n"/>
      <c r="H45" s="14" t="n"/>
      <c r="I45" s="14" t="n"/>
      <c r="J45" s="14" t="n"/>
      <c r="K45" s="14" t="n"/>
    </row>
    <row r="46">
      <c r="B46" s="14" t="n"/>
      <c r="C46" s="14" t="n"/>
      <c r="D46" s="14" t="n"/>
      <c r="E46" s="14" t="n"/>
      <c r="F46" s="14" t="n"/>
      <c r="G46" s="14" t="n"/>
      <c r="H46" s="14" t="n"/>
      <c r="I46" s="14" t="n"/>
      <c r="J46" s="14" t="n"/>
      <c r="K46" s="14" t="n"/>
    </row>
    <row r="47">
      <c r="B47" s="14" t="n"/>
      <c r="C47" s="14" t="n"/>
      <c r="D47" s="14" t="n"/>
      <c r="E47" s="14" t="n"/>
      <c r="F47" s="14" t="n"/>
      <c r="G47" s="14" t="n"/>
      <c r="H47" s="14" t="n"/>
      <c r="I47" s="14" t="n"/>
      <c r="J47" s="14" t="n"/>
      <c r="K47" s="14" t="n"/>
    </row>
    <row r="48">
      <c r="B48" s="14" t="n"/>
      <c r="C48" s="14" t="n"/>
      <c r="D48" s="14" t="n"/>
      <c r="E48" s="14" t="n"/>
      <c r="F48" s="14" t="n"/>
      <c r="G48" s="14" t="n"/>
      <c r="H48" s="14" t="n"/>
      <c r="I48" s="14" t="n"/>
      <c r="J48" s="14" t="n"/>
      <c r="K48" s="14" t="n"/>
    </row>
    <row r="49">
      <c r="B49" s="14" t="n"/>
      <c r="C49" s="14" t="n"/>
      <c r="D49" s="14" t="n"/>
      <c r="E49" s="14" t="n"/>
      <c r="F49" s="14" t="n"/>
      <c r="G49" s="14" t="n"/>
      <c r="H49" s="14" t="n"/>
      <c r="I49" s="14" t="n"/>
      <c r="J49" s="14" t="n"/>
      <c r="K49" s="14" t="n"/>
    </row>
    <row r="50">
      <c r="B50" s="14" t="n"/>
      <c r="C50" s="14" t="n"/>
      <c r="D50" s="14" t="n"/>
      <c r="E50" s="14" t="n"/>
      <c r="F50" s="14" t="n"/>
      <c r="G50" s="14" t="n"/>
      <c r="H50" s="14" t="n"/>
      <c r="I50" s="14" t="n"/>
      <c r="J50" s="14" t="n"/>
      <c r="K50" s="14" t="n"/>
    </row>
    <row r="51">
      <c r="B51" s="14" t="n"/>
      <c r="C51" s="14" t="n"/>
      <c r="D51" s="14" t="n"/>
      <c r="E51" s="14" t="n"/>
      <c r="F51" s="14" t="n"/>
      <c r="G51" s="14" t="n"/>
      <c r="H51" s="14" t="n"/>
      <c r="I51" s="14" t="n"/>
      <c r="J51" s="14" t="n"/>
      <c r="K51" s="14" t="n"/>
    </row>
    <row r="54">
      <c r="B54" s="10" t="inlineStr">
        <is>
          <t>DETAIL (PIVOTTABLES)</t>
        </is>
      </c>
    </row>
    <row r="55">
      <c r="B55" s="13" t="inlineStr">
        <is>
          <t>[ Executive Summary (PivotTable)  —  Placeholder, built in Phase 4 ]</t>
        </is>
      </c>
      <c r="C55" s="14" t="n"/>
      <c r="D55" s="14" t="n"/>
      <c r="E55" s="14" t="n"/>
      <c r="F55" s="14" t="n"/>
    </row>
    <row r="56">
      <c r="B56" s="14" t="n"/>
      <c r="C56" s="14" t="n"/>
      <c r="D56" s="14" t="n"/>
      <c r="E56" s="14" t="n"/>
      <c r="F56" s="14" t="n"/>
    </row>
    <row r="57">
      <c r="B57" s="14" t="n"/>
      <c r="C57" s="14" t="n"/>
      <c r="D57" s="14" t="n"/>
      <c r="E57" s="14" t="n"/>
      <c r="F57" s="14" t="n"/>
    </row>
    <row r="58">
      <c r="B58" s="14" t="n"/>
      <c r="C58" s="14" t="n"/>
      <c r="D58" s="14" t="n"/>
      <c r="E58" s="14" t="n"/>
      <c r="F58" s="14" t="n"/>
    </row>
    <row r="59">
      <c r="B59" s="14" t="n"/>
      <c r="C59" s="14" t="n"/>
      <c r="D59" s="14" t="n"/>
      <c r="E59" s="14" t="n"/>
      <c r="F59" s="14" t="n"/>
    </row>
    <row r="60">
      <c r="B60" s="14" t="n"/>
      <c r="C60" s="14" t="n"/>
      <c r="D60" s="14" t="n"/>
      <c r="E60" s="14" t="n"/>
      <c r="F60" s="14" t="n"/>
    </row>
    <row r="61">
      <c r="B61" s="14" t="n"/>
      <c r="C61" s="14" t="n"/>
      <c r="D61" s="14" t="n"/>
      <c r="E61" s="14" t="n"/>
      <c r="F61" s="14" t="n"/>
    </row>
    <row r="62">
      <c r="B62" s="14" t="n"/>
      <c r="C62" s="14" t="n"/>
      <c r="D62" s="14" t="n"/>
      <c r="E62" s="14" t="n"/>
      <c r="F62" s="14" t="n"/>
    </row>
    <row r="63">
      <c r="B63" s="14" t="n"/>
      <c r="C63" s="14" t="n"/>
      <c r="D63" s="14" t="n"/>
      <c r="E63" s="14" t="n"/>
      <c r="F63" s="14" t="n"/>
    </row>
    <row r="64">
      <c r="B64" s="14" t="n"/>
      <c r="C64" s="14" t="n"/>
      <c r="D64" s="14" t="n"/>
      <c r="E64" s="14" t="n"/>
      <c r="F64" s="14" t="n"/>
    </row>
  </sheetData>
  <sheetProtection selectLockedCells="0" selectUnlockedCells="0" sheet="1" objects="0" insertRows="0" insertHyperlinks="1" autoFilter="1" scenarios="0" formatColumns="0" deleteColumns="0" insertColumns="0" pivotTables="0" deleteRows="0" formatCells="0" formatRows="0" sort="1" password="C24F"/>
  <mergeCells count="29">
    <mergeCell ref="B4:L4"/>
    <mergeCell ref="F11:G11"/>
    <mergeCell ref="N11:O11"/>
    <mergeCell ref="B35:K42"/>
    <mergeCell ref="B7:L7"/>
    <mergeCell ref="B26:K33"/>
    <mergeCell ref="D12:E13"/>
    <mergeCell ref="A3:L3"/>
    <mergeCell ref="A2:L2"/>
    <mergeCell ref="P12:Q13"/>
    <mergeCell ref="H12:I13"/>
    <mergeCell ref="B11:C11"/>
    <mergeCell ref="J12:K13"/>
    <mergeCell ref="D11:E11"/>
    <mergeCell ref="P11:Q11"/>
    <mergeCell ref="B8:L8"/>
    <mergeCell ref="H11:I11"/>
    <mergeCell ref="J11:K11"/>
    <mergeCell ref="B17:K24"/>
    <mergeCell ref="B55:F64"/>
    <mergeCell ref="B44:K51"/>
    <mergeCell ref="B12:C13"/>
    <mergeCell ref="B6:L6"/>
    <mergeCell ref="F12:G13"/>
    <mergeCell ref="L12:M13"/>
    <mergeCell ref="N12:O13"/>
    <mergeCell ref="A1:L1"/>
    <mergeCell ref="B5:L5"/>
    <mergeCell ref="L11:M11"/>
  </mergeCells>
  <pageMargins left="0.75" right="0.75" top="1" bottom="1" header="0.5" footer="0.5"/>
</worksheet>
</file>

<file path=xl/worksheets/sheet4.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Sales</t>
        </is>
      </c>
    </row>
    <row r="2" ht="16" customHeight="1">
      <c r="A2" s="2" t="inlineStr">
        <is>
          <t>PASSRESS MIS   |   Home ▸ Sales</t>
        </is>
      </c>
    </row>
    <row r="3" ht="14" customHeight="1">
      <c r="A3" s="3" t="inlineStr">
        <is>
          <t>Sheet Documentation  (use the  +  outline control at left to expand)</t>
        </is>
      </c>
    </row>
    <row r="4" hidden="1" outlineLevel="1" ht="13" customHeight="1">
      <c r="A4" s="4" t="inlineStr">
        <is>
          <t>Purpose</t>
        </is>
      </c>
      <c r="B4" s="5" t="inlineStr">
        <is>
          <t>Sales performance detail — orders, revenue, discounts, and returns by period, product, and channel.</t>
        </is>
      </c>
    </row>
    <row r="5" hidden="1" outlineLevel="1" ht="13" customHeight="1">
      <c r="A5" s="4" t="inlineStr">
        <is>
          <t>Input tables</t>
        </is>
      </c>
      <c r="B5" s="5" t="inlineStr">
        <is>
          <t>FACT_OrderLines, FACT_Refunds, DIM_Date, DIM_Product, DIM_Collection.</t>
        </is>
      </c>
    </row>
    <row r="6" hidden="1" outlineLevel="1" ht="13" customHeight="1">
      <c r="A6" s="4" t="inlineStr">
        <is>
          <t>Output tables</t>
        </is>
      </c>
      <c r="B6" s="5" t="inlineStr">
        <is>
          <t>Sales KPI row, Sales-by-Date / Sales-by-Product / Sales-by-Collection pivots, order list.</t>
        </is>
      </c>
    </row>
    <row r="7" hidden="1" outlineLevel="1" ht="13" customHeight="1">
      <c r="A7" s="4" t="inlineStr">
        <is>
          <t>Relationships</t>
        </is>
      </c>
      <c r="B7" s="5" t="inlineStr">
        <is>
          <t>FACT_OrderLines links to DIM_Date/DIM_Product/DIM_Collection; FACT_Refunds links to FACT_OrderLines.</t>
        </is>
      </c>
    </row>
    <row r="8" hidden="1" outlineLevel="1" ht="13" customHeight="1">
      <c r="A8" s="4" t="inlineStr">
        <is>
          <t>Future data source</t>
        </is>
      </c>
      <c r="B8" s="5" t="inlineStr">
        <is>
          <t>RAW_Orders / RAW_OrderLines via Power Query — Phase 2.</t>
        </is>
      </c>
    </row>
    <row r="9" hidden="1" outlineLevel="1"/>
    <row r="10" ht="6" customHeight="1"/>
    <row r="11" ht="15" customHeight="1">
      <c r="B11" s="6" t="inlineStr">
        <is>
          <t>GROSS SALES</t>
        </is>
      </c>
      <c r="C11" s="7" t="n"/>
      <c r="D11" s="6" t="inlineStr">
        <is>
          <t>DISCOUNTS</t>
        </is>
      </c>
      <c r="E11" s="7" t="n"/>
      <c r="F11" s="6" t="inlineStr">
        <is>
          <t>RETURNS</t>
        </is>
      </c>
      <c r="G11" s="7" t="n"/>
      <c r="H11" s="6" t="inlineStr">
        <is>
          <t>NET SALES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Sales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Sales by Date (PivotTable)  —  Placeholder, built in Phase 4 ]</t>
        </is>
      </c>
      <c r="C28" s="14" t="n"/>
      <c r="D28" s="14" t="n"/>
      <c r="E28" s="14" t="n"/>
      <c r="F28" s="14" t="n"/>
      <c r="G28" s="13" t="inlineStr">
        <is>
          <t>[ Sales by Product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row r="39">
      <c r="B39" s="13" t="inlineStr">
        <is>
          <t>[ Sales by Collection (PivotTable)  —  Placeholder, built in Phase 4 ]</t>
        </is>
      </c>
      <c r="C39" s="14" t="n"/>
      <c r="D39" s="14" t="n"/>
      <c r="E39" s="14" t="n"/>
      <c r="F39" s="14" t="n"/>
      <c r="G39" s="13" t="inlineStr">
        <is>
          <t>[ Order List (Table)  —  Placeholder, built in Phase 4 ]</t>
        </is>
      </c>
      <c r="H39" s="14" t="n"/>
      <c r="I39" s="14" t="n"/>
      <c r="J39" s="14" t="n"/>
      <c r="K39" s="14" t="n"/>
    </row>
    <row r="40">
      <c r="B40" s="14" t="n"/>
      <c r="C40" s="14" t="n"/>
      <c r="D40" s="14" t="n"/>
      <c r="E40" s="14" t="n"/>
      <c r="F40" s="14" t="n"/>
      <c r="G40" s="14" t="n"/>
      <c r="H40" s="14" t="n"/>
      <c r="I40" s="14" t="n"/>
      <c r="J40" s="14" t="n"/>
      <c r="K40" s="14" t="n"/>
    </row>
    <row r="41">
      <c r="B41" s="14" t="n"/>
      <c r="C41" s="14" t="n"/>
      <c r="D41" s="14" t="n"/>
      <c r="E41" s="14" t="n"/>
      <c r="F41" s="14" t="n"/>
      <c r="G41" s="14" t="n"/>
      <c r="H41" s="14" t="n"/>
      <c r="I41" s="14" t="n"/>
      <c r="J41" s="14" t="n"/>
      <c r="K41" s="14" t="n"/>
    </row>
    <row r="42">
      <c r="B42" s="14" t="n"/>
      <c r="C42" s="14" t="n"/>
      <c r="D42" s="14" t="n"/>
      <c r="E42" s="14" t="n"/>
      <c r="F42" s="14" t="n"/>
      <c r="G42" s="14" t="n"/>
      <c r="H42" s="14" t="n"/>
      <c r="I42" s="14" t="n"/>
      <c r="J42" s="14" t="n"/>
      <c r="K42" s="14" t="n"/>
    </row>
    <row r="43">
      <c r="B43" s="14" t="n"/>
      <c r="C43" s="14" t="n"/>
      <c r="D43" s="14" t="n"/>
      <c r="E43" s="14" t="n"/>
      <c r="F43" s="14" t="n"/>
      <c r="G43" s="14" t="n"/>
      <c r="H43" s="14" t="n"/>
      <c r="I43" s="14" t="n"/>
      <c r="J43" s="14" t="n"/>
      <c r="K43" s="14" t="n"/>
    </row>
    <row r="44">
      <c r="B44" s="14" t="n"/>
      <c r="C44" s="14" t="n"/>
      <c r="D44" s="14" t="n"/>
      <c r="E44" s="14" t="n"/>
      <c r="F44" s="14" t="n"/>
      <c r="G44" s="14" t="n"/>
      <c r="H44" s="14" t="n"/>
      <c r="I44" s="14" t="n"/>
      <c r="J44" s="14" t="n"/>
      <c r="K44" s="14" t="n"/>
    </row>
    <row r="45">
      <c r="B45" s="14" t="n"/>
      <c r="C45" s="14" t="n"/>
      <c r="D45" s="14" t="n"/>
      <c r="E45" s="14" t="n"/>
      <c r="F45" s="14" t="n"/>
      <c r="G45" s="14" t="n"/>
      <c r="H45" s="14" t="n"/>
      <c r="I45" s="14" t="n"/>
      <c r="J45" s="14" t="n"/>
      <c r="K45" s="14" t="n"/>
    </row>
    <row r="46">
      <c r="B46" s="14" t="n"/>
      <c r="C46" s="14" t="n"/>
      <c r="D46" s="14" t="n"/>
      <c r="E46" s="14" t="n"/>
      <c r="F46" s="14" t="n"/>
      <c r="G46" s="14" t="n"/>
      <c r="H46" s="14" t="n"/>
      <c r="I46" s="14" t="n"/>
      <c r="J46" s="14" t="n"/>
      <c r="K46" s="14" t="n"/>
    </row>
    <row r="47">
      <c r="B47" s="14" t="n"/>
      <c r="C47" s="14" t="n"/>
      <c r="D47" s="14" t="n"/>
      <c r="E47" s="14" t="n"/>
      <c r="F47" s="14" t="n"/>
      <c r="G47" s="14" t="n"/>
      <c r="H47" s="14" t="n"/>
      <c r="I47" s="14" t="n"/>
      <c r="J47" s="14" t="n"/>
      <c r="K47" s="14" t="n"/>
    </row>
    <row r="48">
      <c r="B48" s="14" t="n"/>
      <c r="C48" s="14" t="n"/>
      <c r="D48" s="14" t="n"/>
      <c r="E48" s="14" t="n"/>
      <c r="F48" s="14" t="n"/>
      <c r="G48" s="14" t="n"/>
      <c r="H48" s="14" t="n"/>
      <c r="I48" s="14" t="n"/>
      <c r="J48" s="14" t="n"/>
      <c r="K48" s="14" t="n"/>
    </row>
  </sheetData>
  <sheetProtection selectLockedCells="0" selectUnlockedCells="0" sheet="1" objects="0" insertRows="0" insertHyperlinks="1" autoFilter="1" scenarios="0" formatColumns="0" deleteColumns="0" insertColumns="0" pivotTables="0" deleteRows="0" formatCells="0" formatRows="0" sort="1" password="C24F"/>
  <mergeCells count="21">
    <mergeCell ref="B4:L4"/>
    <mergeCell ref="F11:G11"/>
    <mergeCell ref="B7:L7"/>
    <mergeCell ref="D12:E13"/>
    <mergeCell ref="G39:K48"/>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5.xml><?xml version="1.0" encoding="utf-8"?>
<worksheet xmlns="http://schemas.openxmlformats.org/spreadsheetml/2006/main">
  <sheetPr>
    <tabColor rgb="00404040"/>
    <outlinePr applyStyles="1" summaryBelow="0" summaryRight="1"/>
    <pageSetUpPr/>
  </sheetPr>
  <dimension ref="A1:S45"/>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Products</t>
        </is>
      </c>
    </row>
    <row r="2" ht="16" customHeight="1">
      <c r="A2" s="2" t="inlineStr">
        <is>
          <t>PASSRESS MIS   |   Home ▸ Products</t>
        </is>
      </c>
    </row>
    <row r="3" ht="14" customHeight="1">
      <c r="A3" s="3" t="inlineStr">
        <is>
          <t>Sheet Documentation  (use the  +  outline control at left to expand)</t>
        </is>
      </c>
    </row>
    <row r="4" hidden="1" outlineLevel="1" ht="13" customHeight="1">
      <c r="A4" s="4" t="inlineStr">
        <is>
          <t>Purpose</t>
        </is>
      </c>
      <c r="B4" s="5" t="inlineStr">
        <is>
          <t>Product-level performance dashboard placeholders (Phase 4) PLUS, as of Phase 3, the Product Cost Master — the workbook's historical/versioned SKU costing table.</t>
        </is>
      </c>
    </row>
    <row r="5" hidden="1" outlineLevel="1" ht="13" customHeight="1">
      <c r="A5" s="4" t="inlineStr">
        <is>
          <t>Input tables</t>
        </is>
      </c>
      <c r="B5" s="5" t="inlineStr">
        <is>
          <t>DIM_Product, FACT_OrderLines (Phase 4 dashboard). RAW_Variants, RAW_Collections (Phase 3 Product Cost Master dropdowns).</t>
        </is>
      </c>
    </row>
    <row r="6" hidden="1" outlineLevel="1" ht="13" customHeight="1">
      <c r="A6" s="4" t="inlineStr">
        <is>
          <t>Output tables</t>
        </is>
      </c>
      <c r="B6" s="5" t="inlineStr">
        <is>
          <t>Product KPI row, Top Products table, Product Margin table, Variant Detail table (Phase 4). tbl_ProductCostMaster feeding DIM_ProductCostHistory (Phase 3, live now).</t>
        </is>
      </c>
    </row>
    <row r="7" hidden="1" outlineLevel="1" ht="13" customHeight="1">
      <c r="A7" s="4" t="inlineStr">
        <is>
          <t>Relationships</t>
        </is>
      </c>
      <c r="B7" s="5" t="inlineStr">
        <is>
          <t>DIM_Product links to FACT_OrderLines on ProductKey (Phase 4). tbl_ProductCostMaster[SKU] links to RAW_Variants[SKU]; Phase 4's COGS calculation will further match SKU + order date against Effective From/To Date.</t>
        </is>
      </c>
    </row>
    <row r="8" hidden="1" outlineLevel="1" ht="13" customHeight="1">
      <c r="A8" s="4" t="inlineStr">
        <is>
          <t>Future data source</t>
        </is>
      </c>
      <c r="B8" s="5" t="inlineStr">
        <is>
          <t>RAW_Products / RAW_Variants via Power Query — Phase 2 (dashboard). Product Cost Master is manual entry today — see PHASE3_DOCUMENTATION.md §1.</t>
        </is>
      </c>
    </row>
    <row r="9" hidden="1" outlineLevel="1"/>
    <row r="10" ht="6" customHeight="1"/>
    <row r="11" ht="15" customHeight="1">
      <c r="B11" s="6" t="inlineStr">
        <is>
          <t>ACTIVE SKUS</t>
        </is>
      </c>
      <c r="C11" s="7" t="n"/>
      <c r="D11" s="6" t="inlineStr">
        <is>
          <t>BEST SELLER</t>
        </is>
      </c>
      <c r="E11" s="7" t="n"/>
      <c r="F11" s="6" t="inlineStr">
        <is>
          <t>AVG MARGIN %</t>
        </is>
      </c>
      <c r="G11" s="7" t="n"/>
      <c r="H11" s="6" t="inlineStr">
        <is>
          <t>SLOW MOVERS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Top 10 Products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Product Margin (PivotTable)  —  Placeholder, built in Phase 4 ]</t>
        </is>
      </c>
      <c r="C28" s="14" t="n"/>
      <c r="D28" s="14" t="n"/>
      <c r="E28" s="14" t="n"/>
      <c r="F28" s="14" t="n"/>
      <c r="G28" s="13" t="inlineStr">
        <is>
          <t>[ Variant Detail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row r="41">
      <c r="B41" s="15" t="inlineStr">
        <is>
          <t>PRODUCT COST MASTER  (Phase 3 — green cells = type here; Cost ID, Total Landed Cost, Expected Gross Margin %, and the overlap warning are automatic)</t>
        </is>
      </c>
    </row>
    <row r="42" ht="24" customHeight="1">
      <c r="B42" s="16" t="inlineStr">
        <is>
          <t>Historical costing: never edit or delete a past row when a cost changes — add a NEW row for the new cost with its own Effective From Date, and set the OLD row's Effective To Date to the day before and its Active Flag to Inactive. Phase 4's COGS calculation will match each order line to the cost row whose SKU matches and whose Effective From/To range contains the order's date — so past orders keep using the cost that was actually active when they happened, even after costs change.</t>
        </is>
      </c>
    </row>
    <row r="44" ht="18" customHeight="1">
      <c r="B44" s="17" t="inlineStr">
        <is>
          <t>Cost ID</t>
        </is>
      </c>
      <c r="C44" s="17" t="inlineStr">
        <is>
          <t>SKU</t>
        </is>
      </c>
      <c r="D44" s="17" t="inlineStr">
        <is>
          <t>Product Name</t>
        </is>
      </c>
      <c r="E44" s="17" t="inlineStr">
        <is>
          <t>Variant</t>
        </is>
      </c>
      <c r="F44" s="17" t="inlineStr">
        <is>
          <t>Collection</t>
        </is>
      </c>
      <c r="G44" s="17" t="inlineStr">
        <is>
          <t>Fabric Cost</t>
        </is>
      </c>
      <c r="H44" s="17" t="inlineStr">
        <is>
          <t>Accessories Cost</t>
        </is>
      </c>
      <c r="I44" s="17" t="inlineStr">
        <is>
          <t>Manufacturing Cost</t>
        </is>
      </c>
      <c r="J44" s="17" t="inlineStr">
        <is>
          <t>Packaging Cost</t>
        </is>
      </c>
      <c r="K44" s="17" t="inlineStr">
        <is>
          <t>Shipping Cost</t>
        </is>
      </c>
      <c r="L44" s="17" t="inlineStr">
        <is>
          <t>Other Cost</t>
        </is>
      </c>
      <c r="M44" s="17" t="inlineStr">
        <is>
          <t>Total Landed Cost</t>
        </is>
      </c>
      <c r="N44" s="17" t="inlineStr">
        <is>
          <t>Selling Price</t>
        </is>
      </c>
      <c r="O44" s="17" t="inlineStr">
        <is>
          <t>Expected Gross Margin %</t>
        </is>
      </c>
      <c r="P44" s="17" t="inlineStr">
        <is>
          <t>Effective From Date</t>
        </is>
      </c>
      <c r="Q44" s="17" t="inlineStr">
        <is>
          <t>Effective To Date</t>
        </is>
      </c>
      <c r="R44" s="17" t="inlineStr">
        <is>
          <t>Active Flag</t>
        </is>
      </c>
      <c r="S44" s="17" t="inlineStr">
        <is>
          <t>Overlap Warning</t>
        </is>
      </c>
    </row>
    <row r="45">
      <c r="B45" s="18">
        <f>"COST-"&amp;TEXT(ROW()-44,"00000")</f>
        <v/>
      </c>
      <c r="C45" s="19" t="n"/>
      <c r="D45" s="19" t="inlineStr">
        <is>
          <t>EXAMPLE — Amara Wrap Dress</t>
        </is>
      </c>
      <c r="E45" s="19" t="inlineStr">
        <is>
          <t>Black / M</t>
        </is>
      </c>
      <c r="F45" s="19" t="n"/>
      <c r="G45" s="19" t="n">
        <v>180</v>
      </c>
      <c r="H45" s="19" t="n">
        <v>25</v>
      </c>
      <c r="I45" s="19" t="n">
        <v>90</v>
      </c>
      <c r="J45" s="19" t="n">
        <v>15</v>
      </c>
      <c r="K45" s="19" t="n">
        <v>20</v>
      </c>
      <c r="L45" s="19" t="n">
        <v>0</v>
      </c>
      <c r="M45" s="20">
        <f>SUM([@[Fabric Cost]],[@[Accessories Cost]],[@[Manufacturing Cost]],[@[Packaging Cost]],[@[Shipping Cost]],[@[Other Cost]])</f>
        <v/>
      </c>
      <c r="N45" s="19" t="n">
        <v>650</v>
      </c>
      <c r="O45" s="21">
        <f>IF([@[Selling Price]]=0,"",([@[Selling Price]]-[@[Total Landed Cost]])/[@[Selling Price]])</f>
        <v/>
      </c>
      <c r="P45" s="19" t="inlineStr">
        <is>
          <t>2026-01-01</t>
        </is>
      </c>
      <c r="Q45" s="19" t="n"/>
      <c r="R45" s="19" t="inlineStr">
        <is>
          <t>Active</t>
        </is>
      </c>
      <c r="S45" s="18">
        <f>IF(COUNTIFS(tbl_ProductCostMaster[SKU],[@SKU],tbl_ProductCostMaster[Active Flag],"Active")&gt;1,"Multiple Active cost rows for this SKU — deactivate all but the current one","")</f>
        <v/>
      </c>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dataValidations count="3">
    <dataValidation sqref="C45: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F45:F501" showDropDown="0" showInputMessage="1" showErrorMessage="1" allowBlank="1" errorTitle="Invalid entry" error="Please choose a value from the Collection list — free text isn't accepted here." promptTitle="Collection" prompt="Choose a live Shopify collection." type="list" errorStyle="stop">
      <formula1>=CollectionTitleList</formula1>
    </dataValidation>
    <dataValidation sqref="R45:R501" showDropDown="0" showInputMessage="1" showErrorMessage="1" allowBlank="1" errorTitle="Invalid entry" error="Choose Active or Inactive." promptTitle="Active Flag" prompt="Only ONE row per SKU should be Active at a time — see the historical-costing note above." type="list" errorStyle="stop">
      <formula1>"Active,Inactive"</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Customers</t>
        </is>
      </c>
    </row>
    <row r="2" ht="16" customHeight="1">
      <c r="A2" s="2" t="inlineStr">
        <is>
          <t>PASSRESS MIS   |   Home ▸ Customers</t>
        </is>
      </c>
    </row>
    <row r="3" ht="14" customHeight="1">
      <c r="A3" s="3" t="inlineStr">
        <is>
          <t>Sheet Documentation  (use the  +  outline control at left to expand)</t>
        </is>
      </c>
    </row>
    <row r="4" hidden="1" outlineLevel="1" ht="13" customHeight="1">
      <c r="A4" s="4" t="inlineStr">
        <is>
          <t>Purpose</t>
        </is>
      </c>
      <c r="B4" s="5" t="inlineStr">
        <is>
          <t>Customer analytics — cohorts, lifetime value, repeat-purchase rate, and geography.</t>
        </is>
      </c>
    </row>
    <row r="5" hidden="1" outlineLevel="1" ht="13" customHeight="1">
      <c r="A5" s="4" t="inlineStr">
        <is>
          <t>Input tables</t>
        </is>
      </c>
      <c r="B5" s="5" t="inlineStr">
        <is>
          <t>DIM_Customer, FACT_OrderLines.</t>
        </is>
      </c>
    </row>
    <row r="6" hidden="1" outlineLevel="1" ht="13" customHeight="1">
      <c r="A6" s="4" t="inlineStr">
        <is>
          <t>Output tables</t>
        </is>
      </c>
      <c r="B6" s="5" t="inlineStr">
        <is>
          <t>Customer KPI row, Cohort table, Top Customers table, Geography breakdown.</t>
        </is>
      </c>
    </row>
    <row r="7" hidden="1" outlineLevel="1" ht="13" customHeight="1">
      <c r="A7" s="4" t="inlineStr">
        <is>
          <t>Relationships</t>
        </is>
      </c>
      <c r="B7" s="5" t="inlineStr">
        <is>
          <t>DIM_Customer links to FACT_OrderLines on CustomerKey.</t>
        </is>
      </c>
    </row>
    <row r="8" hidden="1" outlineLevel="1" ht="13" customHeight="1">
      <c r="A8" s="4" t="inlineStr">
        <is>
          <t>Future data source</t>
        </is>
      </c>
      <c r="B8" s="5" t="inlineStr">
        <is>
          <t>RAW_Customers via Power Query — Phase 2.</t>
        </is>
      </c>
    </row>
    <row r="9" hidden="1" outlineLevel="1"/>
    <row r="10" ht="6" customHeight="1"/>
    <row r="11" ht="15" customHeight="1">
      <c r="B11" s="6" t="inlineStr">
        <is>
          <t>TOTAL CUSTOMERS</t>
        </is>
      </c>
      <c r="C11" s="7" t="n"/>
      <c r="D11" s="6" t="inlineStr">
        <is>
          <t>NEW CUSTOMERS</t>
        </is>
      </c>
      <c r="E11" s="7" t="n"/>
      <c r="F11" s="6" t="inlineStr">
        <is>
          <t>REPEAT RATE %</t>
        </is>
      </c>
      <c r="G11" s="7" t="n"/>
      <c r="H11" s="6" t="inlineStr">
        <is>
          <t>AVG LTV</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Cohort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Cohort Table (PivotTable)  —  Placeholder, built in Phase 4 ]</t>
        </is>
      </c>
      <c r="C28" s="14" t="n"/>
      <c r="D28" s="14" t="n"/>
      <c r="E28" s="14" t="n"/>
      <c r="F28" s="14" t="n"/>
      <c r="G28" s="13" t="inlineStr">
        <is>
          <t>[ Top Customers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row r="39">
      <c r="B39" s="13" t="inlineStr">
        <is>
          <t>[ Geography (PivotTable)  —  Placeholder, built in Phase 4 ]</t>
        </is>
      </c>
      <c r="C39" s="14" t="n"/>
      <c r="D39" s="14" t="n"/>
      <c r="E39" s="14" t="n"/>
      <c r="F39" s="14" t="n"/>
    </row>
    <row r="40">
      <c r="B40" s="14" t="n"/>
      <c r="C40" s="14" t="n"/>
      <c r="D40" s="14" t="n"/>
      <c r="E40" s="14" t="n"/>
      <c r="F40" s="14" t="n"/>
    </row>
    <row r="41">
      <c r="B41" s="14" t="n"/>
      <c r="C41" s="14" t="n"/>
      <c r="D41" s="14" t="n"/>
      <c r="E41" s="14" t="n"/>
      <c r="F41" s="14" t="n"/>
    </row>
    <row r="42">
      <c r="B42" s="14" t="n"/>
      <c r="C42" s="14" t="n"/>
      <c r="D42" s="14" t="n"/>
      <c r="E42" s="14" t="n"/>
      <c r="F42" s="14" t="n"/>
    </row>
    <row r="43">
      <c r="B43" s="14" t="n"/>
      <c r="C43" s="14" t="n"/>
      <c r="D43" s="14" t="n"/>
      <c r="E43" s="14" t="n"/>
      <c r="F43" s="14" t="n"/>
    </row>
    <row r="44">
      <c r="B44" s="14" t="n"/>
      <c r="C44" s="14" t="n"/>
      <c r="D44" s="14" t="n"/>
      <c r="E44" s="14" t="n"/>
      <c r="F44" s="14" t="n"/>
    </row>
    <row r="45">
      <c r="B45" s="14" t="n"/>
      <c r="C45" s="14" t="n"/>
      <c r="D45" s="14" t="n"/>
      <c r="E45" s="14" t="n"/>
      <c r="F45" s="14" t="n"/>
    </row>
    <row r="46">
      <c r="B46" s="14" t="n"/>
      <c r="C46" s="14" t="n"/>
      <c r="D46" s="14" t="n"/>
      <c r="E46" s="14" t="n"/>
      <c r="F46" s="14" t="n"/>
    </row>
    <row r="47">
      <c r="B47" s="14" t="n"/>
      <c r="C47" s="14" t="n"/>
      <c r="D47" s="14" t="n"/>
      <c r="E47" s="14" t="n"/>
      <c r="F47" s="14" t="n"/>
    </row>
    <row r="48">
      <c r="B48" s="14" t="n"/>
      <c r="C48" s="14" t="n"/>
      <c r="D48" s="14" t="n"/>
      <c r="E48" s="14" t="n"/>
      <c r="F48" s="14" t="n"/>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7.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Inventory</t>
        </is>
      </c>
    </row>
    <row r="2" ht="16" customHeight="1">
      <c r="A2" s="2" t="inlineStr">
        <is>
          <t>PASSRESS MIS   |   Home ▸ Inventory</t>
        </is>
      </c>
    </row>
    <row r="3" ht="14" customHeight="1">
      <c r="A3" s="3" t="inlineStr">
        <is>
          <t>Sheet Documentation  (use the  +  outline control at left to expand)</t>
        </is>
      </c>
    </row>
    <row r="4" hidden="1" outlineLevel="1" ht="13" customHeight="1">
      <c r="A4" s="4" t="inlineStr">
        <is>
          <t>Purpose</t>
        </is>
      </c>
      <c r="B4" s="5" t="inlineStr">
        <is>
          <t>Stock levels, valuation, turnover, and reorder risk.</t>
        </is>
      </c>
    </row>
    <row r="5" hidden="1" outlineLevel="1" ht="13" customHeight="1">
      <c r="A5" s="4" t="inlineStr">
        <is>
          <t>Input tables</t>
        </is>
      </c>
      <c r="B5" s="5" t="inlineStr">
        <is>
          <t>FACT_InventoryMovements, DIM_Product, DIM_Location.</t>
        </is>
      </c>
    </row>
    <row r="6" hidden="1" outlineLevel="1" ht="13" customHeight="1">
      <c r="A6" s="4" t="inlineStr">
        <is>
          <t>Output tables</t>
        </is>
      </c>
      <c r="B6" s="5" t="inlineStr">
        <is>
          <t>Inventory KPI row, Stock-by-Location table, Low Stock list, Valuation table.</t>
        </is>
      </c>
    </row>
    <row r="7" hidden="1" outlineLevel="1" ht="13" customHeight="1">
      <c r="A7" s="4" t="inlineStr">
        <is>
          <t>Relationships</t>
        </is>
      </c>
      <c r="B7" s="5" t="inlineStr">
        <is>
          <t>FACT_InventoryMovements links to DIM_Product and DIM_Location.</t>
        </is>
      </c>
    </row>
    <row r="8" hidden="1" outlineLevel="1" ht="13" customHeight="1">
      <c r="A8" s="4" t="inlineStr">
        <is>
          <t>Future data source</t>
        </is>
      </c>
      <c r="B8" s="5" t="inlineStr">
        <is>
          <t>RAW_InventoryLevels via Power Query — Phase 2.</t>
        </is>
      </c>
    </row>
    <row r="9" hidden="1" outlineLevel="1"/>
    <row r="10" ht="6" customHeight="1"/>
    <row r="11" ht="15" customHeight="1">
      <c r="B11" s="6" t="inlineStr">
        <is>
          <t>INVENTORY VALUE</t>
        </is>
      </c>
      <c r="C11" s="7" t="n"/>
      <c r="D11" s="6" t="inlineStr">
        <is>
          <t>UNITS ON HAND</t>
        </is>
      </c>
      <c r="E11" s="7" t="n"/>
      <c r="F11" s="6" t="inlineStr">
        <is>
          <t>INVENTORY TURNS</t>
        </is>
      </c>
      <c r="G11" s="7" t="n"/>
      <c r="H11" s="6" t="inlineStr">
        <is>
          <t>STOCKOUT RISK</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Stock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Stock by Location (PivotTable)  —  Placeholder, built in Phase 4 ]</t>
        </is>
      </c>
      <c r="C28" s="14" t="n"/>
      <c r="D28" s="14" t="n"/>
      <c r="E28" s="14" t="n"/>
      <c r="F28" s="14" t="n"/>
      <c r="G28" s="13" t="inlineStr">
        <is>
          <t>[ Low Stock List (Table)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row r="39">
      <c r="B39" s="13" t="inlineStr">
        <is>
          <t>[ Inventory Valuation (PivotTable)  —  Placeholder, built in Phase 4 ]</t>
        </is>
      </c>
      <c r="C39" s="14" t="n"/>
      <c r="D39" s="14" t="n"/>
      <c r="E39" s="14" t="n"/>
      <c r="F39" s="14" t="n"/>
    </row>
    <row r="40">
      <c r="B40" s="14" t="n"/>
      <c r="C40" s="14" t="n"/>
      <c r="D40" s="14" t="n"/>
      <c r="E40" s="14" t="n"/>
      <c r="F40" s="14" t="n"/>
    </row>
    <row r="41">
      <c r="B41" s="14" t="n"/>
      <c r="C41" s="14" t="n"/>
      <c r="D41" s="14" t="n"/>
      <c r="E41" s="14" t="n"/>
      <c r="F41" s="14" t="n"/>
    </row>
    <row r="42">
      <c r="B42" s="14" t="n"/>
      <c r="C42" s="14" t="n"/>
      <c r="D42" s="14" t="n"/>
      <c r="E42" s="14" t="n"/>
      <c r="F42" s="14" t="n"/>
    </row>
    <row r="43">
      <c r="B43" s="14" t="n"/>
      <c r="C43" s="14" t="n"/>
      <c r="D43" s="14" t="n"/>
      <c r="E43" s="14" t="n"/>
      <c r="F43" s="14" t="n"/>
    </row>
    <row r="44">
      <c r="B44" s="14" t="n"/>
      <c r="C44" s="14" t="n"/>
      <c r="D44" s="14" t="n"/>
      <c r="E44" s="14" t="n"/>
      <c r="F44" s="14" t="n"/>
    </row>
    <row r="45">
      <c r="B45" s="14" t="n"/>
      <c r="C45" s="14" t="n"/>
      <c r="D45" s="14" t="n"/>
      <c r="E45" s="14" t="n"/>
      <c r="F45" s="14" t="n"/>
    </row>
    <row r="46">
      <c r="B46" s="14" t="n"/>
      <c r="C46" s="14" t="n"/>
      <c r="D46" s="14" t="n"/>
      <c r="E46" s="14" t="n"/>
      <c r="F46" s="14" t="n"/>
    </row>
    <row r="47">
      <c r="B47" s="14" t="n"/>
      <c r="C47" s="14" t="n"/>
      <c r="D47" s="14" t="n"/>
      <c r="E47" s="14" t="n"/>
      <c r="F47" s="14" t="n"/>
    </row>
    <row r="48">
      <c r="B48" s="14" t="n"/>
      <c r="C48" s="14" t="n"/>
      <c r="D48" s="14" t="n"/>
      <c r="E48" s="14" t="n"/>
      <c r="F48" s="14" t="n"/>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8.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Finance</t>
        </is>
      </c>
    </row>
    <row r="2" ht="16" customHeight="1">
      <c r="A2" s="2" t="inlineStr">
        <is>
          <t>PASSRESS MIS   |   Home ▸ Finance</t>
        </is>
      </c>
    </row>
    <row r="3" ht="14" customHeight="1">
      <c r="A3" s="3" t="inlineStr">
        <is>
          <t>Sheet Documentation  (use the  +  outline control at left to expand)</t>
        </is>
      </c>
    </row>
    <row r="4" hidden="1" outlineLevel="1" ht="13" customHeight="1">
      <c r="A4" s="4" t="inlineStr">
        <is>
          <t>Purpose</t>
        </is>
      </c>
      <c r="B4" s="5" t="inlineStr">
        <is>
          <t>Core management-basis financial statements — Profit &amp; Loss and Cash Flow summary (not audited books).</t>
        </is>
      </c>
    </row>
    <row r="5" hidden="1" outlineLevel="1" ht="13" customHeight="1">
      <c r="A5" s="4" t="inlineStr">
        <is>
          <t>Input tables</t>
        </is>
      </c>
      <c r="B5" s="5" t="inlineStr">
        <is>
          <t>FACT_OrderLines, FACT_ManualExpenses, FACT_Payments, Chart of Accounts mapping (15_Settings).</t>
        </is>
      </c>
    </row>
    <row r="6" hidden="1" outlineLevel="1" ht="13" customHeight="1">
      <c r="A6" s="4" t="inlineStr">
        <is>
          <t>Output tables</t>
        </is>
      </c>
      <c r="B6" s="5" t="inlineStr">
        <is>
          <t>Finance KPI row, P&amp;L Statement, Cash Flow Statement.</t>
        </is>
      </c>
    </row>
    <row r="7" hidden="1" outlineLevel="1" ht="13" customHeight="1">
      <c r="A7" s="4" t="inlineStr">
        <is>
          <t>Relationships</t>
        </is>
      </c>
      <c r="B7" s="5" t="inlineStr">
        <is>
          <t>Combines Shopify-sourced facts with manually entered FACT_ManualExpenses, categorized via the Chart of Accounts mapping table.</t>
        </is>
      </c>
    </row>
    <row r="8" hidden="1" outlineLevel="1" ht="13" customHeight="1">
      <c r="A8" s="4" t="inlineStr">
        <is>
          <t>Future data source</t>
        </is>
      </c>
      <c r="B8" s="5" t="inlineStr">
        <is>
          <t>Data Model measures, built on top of RAW_Orders + FACT_ManualExpenses — Phase 3/4.</t>
        </is>
      </c>
    </row>
    <row r="9" hidden="1" outlineLevel="1"/>
    <row r="10" ht="6" customHeight="1"/>
    <row r="11" ht="15" customHeight="1">
      <c r="B11" s="6" t="inlineStr">
        <is>
          <t>NET SALES</t>
        </is>
      </c>
      <c r="C11" s="7" t="n"/>
      <c r="D11" s="6" t="inlineStr">
        <is>
          <t>TOTAL EXPENSES</t>
        </is>
      </c>
      <c r="E11" s="7" t="n"/>
      <c r="F11" s="6" t="inlineStr">
        <is>
          <t>NET PROFIT</t>
        </is>
      </c>
      <c r="G11" s="7" t="n"/>
      <c r="H11" s="6" t="inlineStr">
        <is>
          <t>CASH BALANCE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P&amp;L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P&amp;L Statement (PivotTable)  —  Placeholder, built in Phase 4 ]</t>
        </is>
      </c>
      <c r="C28" s="14" t="n"/>
      <c r="D28" s="14" t="n"/>
      <c r="E28" s="14" t="n"/>
      <c r="F28" s="14" t="n"/>
      <c r="G28" s="13" t="inlineStr">
        <is>
          <t>[ Cash Flow Statement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9.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Profitability</t>
        </is>
      </c>
    </row>
    <row r="2" ht="16" customHeight="1">
      <c r="A2" s="2" t="inlineStr">
        <is>
          <t>PASSRESS MIS   |   Home ▸ Profitability</t>
        </is>
      </c>
    </row>
    <row r="3" ht="14" customHeight="1">
      <c r="A3" s="3" t="inlineStr">
        <is>
          <t>Sheet Documentation  (use the  +  outline control at left to expand)</t>
        </is>
      </c>
    </row>
    <row r="4" hidden="1" outlineLevel="1" ht="13" customHeight="1">
      <c r="A4" s="4" t="inlineStr">
        <is>
          <t>Purpose</t>
        </is>
      </c>
      <c r="B4" s="5" t="inlineStr">
        <is>
          <t>Margin analysis — gross margin, contribution margin, and profitability by product, collection, and channel.</t>
        </is>
      </c>
    </row>
    <row r="5" hidden="1" outlineLevel="1" ht="13" customHeight="1">
      <c r="A5" s="4" t="inlineStr">
        <is>
          <t>Input tables</t>
        </is>
      </c>
      <c r="B5" s="5" t="inlineStr">
        <is>
          <t>FACT_OrderLines, DIM_Product, DIM_Collection.</t>
        </is>
      </c>
    </row>
    <row r="6" hidden="1" outlineLevel="1" ht="13" customHeight="1">
      <c r="A6" s="4" t="inlineStr">
        <is>
          <t>Output tables</t>
        </is>
      </c>
      <c r="B6" s="5" t="inlineStr">
        <is>
          <t>Profitability KPI row, Margin-by-Product / Margin-by-Collection tables, Margin Trend chart.</t>
        </is>
      </c>
    </row>
    <row r="7" hidden="1" outlineLevel="1" ht="13" customHeight="1">
      <c r="A7" s="4" t="inlineStr">
        <is>
          <t>Relationships</t>
        </is>
      </c>
      <c r="B7" s="5" t="inlineStr">
        <is>
          <t>FACT_OrderLines carries both revenue and COGS at line grain, enabling margin by any dimension.</t>
        </is>
      </c>
    </row>
    <row r="8" hidden="1" outlineLevel="1" ht="13" customHeight="1">
      <c r="A8" s="4" t="inlineStr">
        <is>
          <t>Future data source</t>
        </is>
      </c>
      <c r="B8" s="5" t="inlineStr">
        <is>
          <t>Data Model measures — Phase 3/4.</t>
        </is>
      </c>
    </row>
    <row r="9" hidden="1" outlineLevel="1"/>
    <row r="10" ht="6" customHeight="1"/>
    <row r="11" ht="15" customHeight="1">
      <c r="B11" s="6" t="inlineStr">
        <is>
          <t>GROSS MARGIN %</t>
        </is>
      </c>
      <c r="C11" s="7" t="n"/>
      <c r="D11" s="6" t="inlineStr">
        <is>
          <t>CONTRIBUTION MARGIN %</t>
        </is>
      </c>
      <c r="E11" s="7" t="n"/>
      <c r="F11" s="6" t="inlineStr">
        <is>
          <t>BEST MARGIN CATEGORY</t>
        </is>
      </c>
      <c r="G11" s="7" t="n"/>
      <c r="H11" s="6" t="inlineStr">
        <is>
          <t>WORST MARGIN CATEGORY</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Margin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Margin by Product (PivotTable)  —  Placeholder, built in Phase 4 ]</t>
        </is>
      </c>
      <c r="C28" s="14" t="n"/>
      <c r="D28" s="14" t="n"/>
      <c r="E28" s="14" t="n"/>
      <c r="F28" s="14" t="n"/>
      <c r="G28" s="13" t="inlineStr">
        <is>
          <t>[ Margin by Collection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10.xml><?xml version="1.0" encoding="utf-8"?>
<worksheet xmlns="http://schemas.openxmlformats.org/spreadsheetml/2006/main">
  <sheetPr>
    <tabColor rgb="00375623"/>
    <outlinePr applyStyles="1" summaryBelow="0" summaryRight="1"/>
    <pageSetUpPr/>
  </sheetPr>
  <dimension ref="A1:R1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2" customWidth="1" min="3" max="3"/>
    <col width="16" customWidth="1" min="4" max="4"/>
    <col width="16" customWidth="1" min="5" max="5"/>
    <col width="16" customWidth="1" min="6" max="6"/>
    <col width="11" customWidth="1" min="7" max="7"/>
    <col width="10" customWidth="1" min="8" max="8"/>
    <col width="13" customWidth="1" min="9" max="9"/>
    <col width="15" customWidth="1" min="10" max="10"/>
    <col width="12" customWidth="1" min="11" max="11"/>
    <col width="12" customWidth="1" min="12" max="12"/>
    <col width="20" customWidth="1" min="13" max="13"/>
    <col width="14" customWidth="1" min="14" max="14"/>
    <col width="14" customWidth="1" min="15" max="15"/>
    <col width="16" customWidth="1" min="16" max="16"/>
    <col width="18" customWidth="1" min="17" max="17"/>
    <col width="15" customWidth="1" min="18" max="18"/>
  </cols>
  <sheetData>
    <row r="1" ht="34" customHeight="1">
      <c r="A1" s="1" t="inlineStr">
        <is>
          <t>Expenses</t>
        </is>
      </c>
    </row>
    <row r="2" ht="16" customHeight="1">
      <c r="A2" s="2" t="inlineStr">
        <is>
          <t>PASSRESS MIS   |   Home ▸ Expenses</t>
        </is>
      </c>
    </row>
    <row r="3" ht="14" customHeight="1">
      <c r="A3" s="3" t="inlineStr">
        <is>
          <t>Sheet Documentation  (use the  +  outline control at left to expand)</t>
        </is>
      </c>
    </row>
    <row r="4" hidden="1" outlineLevel="1" ht="13" customHeight="1">
      <c r="A4" s="4" t="inlineStr">
        <is>
          <t>Purpose</t>
        </is>
      </c>
      <c r="B4" s="5" t="inlineStr">
        <is>
          <t>Complete operating-expense entry module — the manual-entry source for costs that do not come from Shopify (rent, salaries, ad spend, shipping, etc.), with category/subcategory lookups, optional SKU/Collection attribution, cost-center tagging, document references, and duplicate detection.</t>
        </is>
      </c>
    </row>
    <row r="5" hidden="1" outlineLevel="1" ht="13" customHeight="1">
      <c r="A5" s="4" t="inlineStr">
        <is>
          <t>Input tables</t>
        </is>
      </c>
      <c r="B5" s="5" t="inlineStr">
        <is>
          <t>15_Settings lookup tables (Expense Category, Expense Subcategory, Payment Method, Currency, Cost Center), tbl_SupplierMaster (12_Suppliers), RAW_Variants / RAW_Collections (live Shopify SKUs/collections).</t>
        </is>
      </c>
    </row>
    <row r="6" hidden="1" outlineLevel="1" ht="13" customHeight="1">
      <c r="A6" s="4" t="inlineStr">
        <is>
          <t>Output tables</t>
        </is>
      </c>
      <c r="B6" s="5" t="inlineStr">
        <is>
          <t>FACT_ManualExpenses (Data Model-ready hidden mirror).</t>
        </is>
      </c>
    </row>
    <row r="7" hidden="1" outlineLevel="1" ht="13" customHeight="1">
      <c r="A7" s="4" t="inlineStr">
        <is>
          <t>Relationships</t>
        </is>
      </c>
      <c r="B7" s="5" t="inlineStr">
        <is>
          <t>Feeds the Data Model as its own fact table, kept structurally separate from Shopify-sourced facts so system-of-record vs. hand-entered data is always distinguishable. Related SKU/Collection dropdowns pull from the live Shopify RAW_ tables, not a separate manual list, so an expense can be tied to real product/collection data. Category list is fully configurable on 15_Settings — nothing is hardcoded.</t>
        </is>
      </c>
    </row>
    <row r="8" hidden="1" outlineLevel="1" ht="13" customHeight="1">
      <c r="A8" s="4" t="inlineStr">
        <is>
          <t>Future data source</t>
        </is>
      </c>
      <c r="B8" s="5" t="inlineStr">
        <is>
          <t>This IS the source — no external system. Document Management: Invoice Number/File Name/File Path/Cloud Link are references only — see passress-mis/PHASE3_DOCUMENTATION.md; a future phase may connect Cloud Link directly to OneDrive/SharePoint.</t>
        </is>
      </c>
    </row>
    <row r="9" hidden="1" outlineLevel="1"/>
    <row r="10" ht="6" customHeight="1"/>
    <row r="11" ht="15" customHeight="1">
      <c r="B11" s="6" t="inlineStr">
        <is>
          <t>EXPENSES MTD</t>
        </is>
      </c>
      <c r="C11" s="7" t="n"/>
      <c r="D11" s="6" t="inlineStr">
        <is>
          <t>EXPENSES YTD</t>
        </is>
      </c>
      <c r="E11" s="7" t="n"/>
      <c r="F11" s="6" t="inlineStr">
        <is>
          <t>LARGEST CATEGORY</t>
        </is>
      </c>
      <c r="G11" s="7" t="n"/>
      <c r="H11" s="6" t="inlineStr">
        <is>
          <t>BUDGET VARIANCE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MANUAL EXPENSE ENTRY  (green cells = type here — Expense ID and Possible Duplicate are automatic)</t>
        </is>
      </c>
    </row>
    <row r="17" ht="18" customHeight="1">
      <c r="B17" s="17" t="inlineStr">
        <is>
          <t>Expense ID</t>
        </is>
      </c>
      <c r="C17" s="17" t="inlineStr">
        <is>
          <t>Expense Date</t>
        </is>
      </c>
      <c r="D17" s="17" t="inlineStr">
        <is>
          <t>Expense Category</t>
        </is>
      </c>
      <c r="E17" s="17" t="inlineStr">
        <is>
          <t>Expense Subcategory</t>
        </is>
      </c>
      <c r="F17" s="17" t="inlineStr">
        <is>
          <t>Supplier</t>
        </is>
      </c>
      <c r="G17" s="17" t="inlineStr">
        <is>
          <t>Amount</t>
        </is>
      </c>
      <c r="H17" s="17" t="inlineStr">
        <is>
          <t>Currency</t>
        </is>
      </c>
      <c r="I17" s="17" t="inlineStr">
        <is>
          <t>Payment Method</t>
        </is>
      </c>
      <c r="J17" s="17" t="inlineStr">
        <is>
          <t>Related Collection</t>
        </is>
      </c>
      <c r="K17" s="17" t="inlineStr">
        <is>
          <t>Related SKU</t>
        </is>
      </c>
      <c r="L17" s="17" t="inlineStr">
        <is>
          <t>Cost Center</t>
        </is>
      </c>
      <c r="M17" s="17" t="inlineStr">
        <is>
          <t>Notes</t>
        </is>
      </c>
      <c r="N17" s="17" t="inlineStr">
        <is>
          <t>Invoice Number</t>
        </is>
      </c>
      <c r="O17" s="17" t="inlineStr">
        <is>
          <t>File Name</t>
        </is>
      </c>
      <c r="P17" s="17" t="inlineStr">
        <is>
          <t>File Path</t>
        </is>
      </c>
      <c r="Q17" s="17" t="inlineStr">
        <is>
          <t>Cloud Link</t>
        </is>
      </c>
      <c r="R17" s="17" t="inlineStr">
        <is>
          <t>Possible Duplicate</t>
        </is>
      </c>
    </row>
    <row r="18">
      <c r="B18" s="18">
        <f>"EXP-"&amp;TEXT(ROW()-17,"00000")</f>
        <v/>
      </c>
      <c r="C18" s="19" t="inlineStr">
        <is>
          <t>2026-01-15</t>
        </is>
      </c>
      <c r="D18" s="19" t="inlineStr">
        <is>
          <t>Rent</t>
        </is>
      </c>
      <c r="E18" s="19" t="inlineStr">
        <is>
          <t>Office</t>
        </is>
      </c>
      <c r="F18" s="19" t="n"/>
      <c r="G18" s="19" t="n">
        <v>15000</v>
      </c>
      <c r="H18" s="19" t="inlineStr">
        <is>
          <t>EGP</t>
        </is>
      </c>
      <c r="I18" s="19" t="inlineStr">
        <is>
          <t>Bank Transfer</t>
        </is>
      </c>
      <c r="J18" s="19" t="n"/>
      <c r="K18" s="19" t="n"/>
      <c r="L18" s="19" t="inlineStr">
        <is>
          <t>Head Office</t>
        </is>
      </c>
      <c r="M18" s="19" t="inlineStr">
        <is>
          <t>EXAMPLE — January office rent</t>
        </is>
      </c>
      <c r="N18" s="19" t="inlineStr">
        <is>
          <t>INV-2026-0001</t>
        </is>
      </c>
      <c r="O18" s="19" t="inlineStr">
        <is>
          <t>jan-rent.pdf</t>
        </is>
      </c>
      <c r="P18" s="19" t="inlineStr">
        <is>
          <t>/Finance/2026/Rent/</t>
        </is>
      </c>
      <c r="Q18" s="19" t="n"/>
      <c r="R18" s="18">
        <f>IF(COUNTIFS(tbl_ManualExpenses[Expense Date],[@[Expense Date]],tbl_ManualExpenses[Supplier],[@Supplier],tbl_ManualExpenses[Amount],[@Amount])&gt;1,"Possible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8:R8"/>
    <mergeCell ref="A3:R3"/>
    <mergeCell ref="B4:R4"/>
    <mergeCell ref="B12:C13"/>
    <mergeCell ref="F11:G11"/>
    <mergeCell ref="H11:I11"/>
    <mergeCell ref="H12:I13"/>
    <mergeCell ref="F12:G13"/>
    <mergeCell ref="B11:C11"/>
    <mergeCell ref="A2:R2"/>
    <mergeCell ref="D11:E11"/>
    <mergeCell ref="B7:R7"/>
    <mergeCell ref="B6:R6"/>
    <mergeCell ref="D12:E13"/>
    <mergeCell ref="A1:R1"/>
    <mergeCell ref="B5:R5"/>
  </mergeCells>
  <dataValidations count="8">
    <dataValidation sqref="D18:D501" showDropDown="0" showInputMessage="1" showErrorMessage="1" allowBlank="1" errorTitle="Invalid entry" error="Please choose a value from the Expense Category list — free text isn't accepted here." promptTitle="Expense Category" prompt="Choose from the Expense Category list on 15_Settings." type="list" errorStyle="stop">
      <formula1>=LookupExpenseCategory</formula1>
    </dataValidation>
    <dataValidation sqref="E18:E501" showDropDown="0" showInputMessage="1" showErrorMessage="1" allowBlank="1" errorTitle="Invalid entry" error="Please choose a value from the Expense Subcategory list — free text isn't accepted here." promptTitle="Expense Subcategory" prompt="Choose from the Expense Subcategory list on 15_Settings." type="list" errorStyle="stop">
      <formula1>=LookupExpenseSubcategory</formula1>
    </dataValidation>
    <dataValidation sqref="F18:F501" showDropDown="0" showInputMessage="1" showErrorMessage="1" allowBlank="1" errorTitle="Invalid entry" error="Please choose a value from the Supplier list — free text isn't accepted here." promptTitle="Supplier" prompt="Choose from Supplier Master (12_Suppliers). Leave blank if this expense has no supplier." type="list" errorStyle="stop">
      <formula1>=SupplierNameList</formula1>
    </dataValidation>
    <dataValidation sqref="H18: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I18:I501" showDropDown="0" showInputMessage="1" showErrorMessage="1" allowBlank="1" errorTitle="Invalid entry" error="Please choose a value from the Payment Method list — free text isn't accepted here." promptTitle="Payment Method" prompt="Choose from the Payment Method list on 15_Settings." type="list" errorStyle="stop">
      <formula1>=LookupPaymentMethod</formula1>
    </dataValidation>
    <dataValidation sqref="J18:J501" showDropDown="0" showInputMessage="1" showErrorMessage="1" allowBlank="1" errorTitle="Invalid entry" error="Please choose a value from the Related Collection (optional) list — free text isn't accepted here." promptTitle="Related Collection (optional)" prompt="Choose a live Shopify collection, or leave blank." type="list" errorStyle="stop">
      <formula1>=CollectionTitleList</formula1>
    </dataValidation>
    <dataValidation sqref="K18:K501" showDropDown="0" showInputMessage="1" showErrorMessage="1" allowBlank="1" errorTitle="Invalid entry" error="Please choose a value from the Related SKU (optional) list — free text isn't accepted here." promptTitle="Related SKU (optional)" prompt="Choose a live Shopify SKU, or leave blank." type="list" errorStyle="stop">
      <formula1>=SKUList</formula1>
    </dataValidation>
    <dataValidation sqref="L18:L501" showDropDown="0" showInputMessage="1" showErrorMessage="1" allowBlank="1" errorTitle="Invalid entry" error="Please choose a value from the Cost Center list — free text isn't accepted here." promptTitle="Cost Center" prompt="Choose from the Cost Center list on 15_Settings." type="list" errorStyle="stop">
      <formula1>=LookupCostCenter</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375623"/>
    <outlinePr applyStyles="1" summaryBelow="0" summaryRight="1"/>
    <pageSetUpPr/>
  </sheetPr>
  <dimension ref="A1:I18"/>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2" customWidth="1" min="3" max="3"/>
    <col width="14" customWidth="1" min="4" max="4"/>
    <col width="20" customWidth="1" min="5" max="5"/>
    <col width="14" customWidth="1" min="6" max="6"/>
    <col width="30" customWidth="1" min="7" max="7"/>
    <col width="14" customWidth="1" min="8" max="8"/>
    <col width="16" customWidth="1" min="9" max="9"/>
  </cols>
  <sheetData>
    <row r="1" ht="34" customHeight="1">
      <c r="A1" s="1" t="inlineStr">
        <is>
          <t>Capital</t>
        </is>
      </c>
    </row>
    <row r="2" ht="16" customHeight="1">
      <c r="A2" s="2" t="inlineStr">
        <is>
          <t>PASSRESS MIS   |   Home ▸ Capital</t>
        </is>
      </c>
    </row>
    <row r="3" ht="14" customHeight="1">
      <c r="A3" s="3" t="inlineStr">
        <is>
          <t>Sheet Documentation  (use the  +  outline control at left to expand)</t>
        </is>
      </c>
    </row>
    <row r="4" hidden="1" outlineLevel="1" ht="13" customHeight="1">
      <c r="A4" s="4" t="inlineStr">
        <is>
          <t>Purpose</t>
        </is>
      </c>
      <c r="B4" s="5" t="inlineStr">
        <is>
          <t>Tracks owner capital contributions and withdrawals, and the resulting owner-equity position.</t>
        </is>
      </c>
    </row>
    <row r="5" hidden="1" outlineLevel="1" ht="13" customHeight="1">
      <c r="A5" s="4" t="inlineStr">
        <is>
          <t>Input tables</t>
        </is>
      </c>
      <c r="B5" s="5" t="inlineStr">
        <is>
          <t>15_Settings lookup tables (Owner, Capital Transaction Type).</t>
        </is>
      </c>
    </row>
    <row r="6" hidden="1" outlineLevel="1" ht="13" customHeight="1">
      <c r="A6" s="4" t="inlineStr">
        <is>
          <t>Output tables</t>
        </is>
      </c>
      <c r="B6" s="5" t="inlineStr">
        <is>
          <t>FACT_CapitalTransactions (Data Model-ready hidden mirror).</t>
        </is>
      </c>
    </row>
    <row r="7" hidden="1" outlineLevel="1" ht="13" customHeight="1">
      <c r="A7" s="4" t="inlineStr">
        <is>
          <t>Relationships</t>
        </is>
      </c>
      <c r="B7" s="5" t="inlineStr">
        <is>
          <t>The only source that grows/shrinks Capital Invested and Owner Equity in future financial calculations. Owner and Transaction Type are both configurable lookups on 15_Settings, not hardcoded.</t>
        </is>
      </c>
    </row>
    <row r="8" hidden="1" outlineLevel="1" ht="13" customHeight="1">
      <c r="A8" s="4" t="inlineStr">
        <is>
          <t>Future data source</t>
        </is>
      </c>
      <c r="B8" s="5" t="inlineStr">
        <is>
          <t>This IS the source — no external system. Manual entry only.</t>
        </is>
      </c>
    </row>
    <row r="9" hidden="1" outlineLevel="1"/>
    <row r="10" ht="6" customHeight="1"/>
    <row r="11" ht="15" customHeight="1">
      <c r="B11" s="6" t="inlineStr">
        <is>
          <t>CAPITAL INVESTED</t>
        </is>
      </c>
      <c r="C11" s="7" t="n"/>
      <c r="D11" s="6" t="inlineStr">
        <is>
          <t>OWNER WITHDRAWALS</t>
        </is>
      </c>
      <c r="E11" s="7" t="n"/>
      <c r="F11" s="6" t="inlineStr">
        <is>
          <t>NET OWNER EQUITY</t>
        </is>
      </c>
      <c r="G11" s="7" t="n"/>
      <c r="H11" s="6" t="inlineStr">
        <is>
          <t>YTD MOVEMENT</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CAPITAL TRANSACTIONS  (green cells = type here — Capital ID and Possible Duplicate are automatic)</t>
        </is>
      </c>
    </row>
    <row r="17" ht="18" customHeight="1">
      <c r="B17" s="17" t="inlineStr">
        <is>
          <t>Capital ID</t>
        </is>
      </c>
      <c r="C17" s="17" t="inlineStr">
        <is>
          <t>Date</t>
        </is>
      </c>
      <c r="D17" s="17" t="inlineStr">
        <is>
          <t>Owner</t>
        </is>
      </c>
      <c r="E17" s="17" t="inlineStr">
        <is>
          <t>Transaction Type</t>
        </is>
      </c>
      <c r="F17" s="17" t="inlineStr">
        <is>
          <t>Amount</t>
        </is>
      </c>
      <c r="G17" s="17" t="inlineStr">
        <is>
          <t>Notes</t>
        </is>
      </c>
      <c r="H17" s="17" t="inlineStr">
        <is>
          <t>Entered By</t>
        </is>
      </c>
      <c r="I17" s="17" t="inlineStr">
        <is>
          <t>Possible Duplicate</t>
        </is>
      </c>
    </row>
    <row r="18">
      <c r="B18" s="18">
        <f>"CAP-"&amp;TEXT(ROW()-17,"00000")</f>
        <v/>
      </c>
      <c r="C18" s="19" t="inlineStr">
        <is>
          <t>2026-01-01</t>
        </is>
      </c>
      <c r="D18" s="19" t="inlineStr">
        <is>
          <t>Founder</t>
        </is>
      </c>
      <c r="E18" s="19" t="inlineStr">
        <is>
          <t>Capital Contribution</t>
        </is>
      </c>
      <c r="F18" s="19" t="n">
        <v>50000</v>
      </c>
      <c r="G18" s="19" t="inlineStr">
        <is>
          <t>EXAMPLE — founder capital injection</t>
        </is>
      </c>
      <c r="H18" s="19" t="inlineStr">
        <is>
          <t>Founder</t>
        </is>
      </c>
      <c r="I18" s="18">
        <f>IF(COUNTIFS(tbl_CapitalTransactions[Date],[@Date],tbl_CapitalTransactions[Owner],[@Owner],tbl_CapitalTransactions[Amount],[@Amount])&gt;1,"Possible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A2:I2"/>
    <mergeCell ref="H12:I13"/>
    <mergeCell ref="F12:G13"/>
    <mergeCell ref="B7:I7"/>
    <mergeCell ref="B11:C11"/>
    <mergeCell ref="B6:I6"/>
    <mergeCell ref="D11:E11"/>
    <mergeCell ref="D12:E13"/>
    <mergeCell ref="A1:I1"/>
    <mergeCell ref="B5:I5"/>
    <mergeCell ref="A3:I3"/>
    <mergeCell ref="B8:I8"/>
    <mergeCell ref="B4:I4"/>
  </mergeCells>
  <dataValidations count="2">
    <dataValidation sqref="D18:D501" showDropDown="0" showInputMessage="1" showErrorMessage="1" allowBlank="1" errorTitle="Invalid entry" error="Please choose a value from the Owner list — free text isn't accepted here." promptTitle="Owner" prompt="Choose from the Owner list on 15_Settings." type="list" errorStyle="stop">
      <formula1>=LookupOwner</formula1>
    </dataValidation>
    <dataValidation sqref="E18:E501" showDropDown="0" showInputMessage="1" showErrorMessage="1" allowBlank="1" errorTitle="Invalid entry" error="Please choose a value from the Transaction Type list — free text isn't accepted here." promptTitle="Transaction Type" prompt="Capital Contribution or Capital Withdrawal — from the list on 15_Settings." type="list" errorStyle="stop">
      <formula1>=LookupCapitalTransactionType</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375623"/>
    <outlinePr applyStyles="1" summaryBelow="0" summaryRight="1"/>
    <pageSetUpPr/>
  </sheetPr>
  <dimension ref="A1:K33"/>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20" customWidth="1" min="3" max="3"/>
    <col width="14" customWidth="1" min="4" max="4"/>
    <col width="14" customWidth="1" min="5" max="5"/>
    <col width="22" customWidth="1" min="6" max="6"/>
    <col width="10" customWidth="1" min="7" max="7"/>
    <col width="16" customWidth="1" min="8" max="8"/>
    <col width="12" customWidth="1" min="9" max="9"/>
    <col width="26" customWidth="1" min="10" max="10"/>
  </cols>
  <sheetData>
    <row r="1" ht="34" customHeight="1">
      <c r="A1" s="1" t="inlineStr">
        <is>
          <t>Suppliers</t>
        </is>
      </c>
    </row>
    <row r="2" ht="16" customHeight="1">
      <c r="A2" s="2" t="inlineStr">
        <is>
          <t>PASSRESS MIS   |   Home ▸ Suppliers</t>
        </is>
      </c>
    </row>
    <row r="3" ht="14" customHeight="1">
      <c r="A3" s="3" t="inlineStr">
        <is>
          <t>Sheet Documentation  (use the  +  outline control at left to expand)</t>
        </is>
      </c>
    </row>
    <row r="4" hidden="1" outlineLevel="1" ht="13" customHeight="1">
      <c r="A4" s="4" t="inlineStr">
        <is>
          <t>Purpose</t>
        </is>
      </c>
      <c r="B4" s="5" t="inlineStr">
        <is>
          <t>Supplier master data and the complete purchasing engine: Purchase Order Header, Purchase Order Lines, and Goods Receipt, with a Draft-through-Closed status workflow.</t>
        </is>
      </c>
    </row>
    <row r="5" hidden="1" outlineLevel="1" ht="13" customHeight="1">
      <c r="A5" s="4" t="inlineStr">
        <is>
          <t>Input tables</t>
        </is>
      </c>
      <c r="B5" s="5" t="inlineStr">
        <is>
          <t>15_Settings lookup tables (Supplier Type, Supplier Status, Currency, PO Status, Warehouse), RAW_Variants (live Shopify SKUs).</t>
        </is>
      </c>
    </row>
    <row r="6" hidden="1" outlineLevel="1" ht="13" customHeight="1">
      <c r="A6" s="4" t="inlineStr">
        <is>
          <t>Output tables</t>
        </is>
      </c>
      <c r="B6" s="5" t="inlineStr">
        <is>
          <t>DIM_Supplier, FACT_PurchaseOrderHeader, FACT_PurchaseOrderLines, FACT_GoodsReceipt (Data Model-ready hidden mirrors).</t>
        </is>
      </c>
    </row>
    <row r="7" hidden="1" outlineLevel="1" ht="13" customHeight="1">
      <c r="A7" s="4" t="inlineStr">
        <is>
          <t>Relationships</t>
        </is>
      </c>
      <c r="B7" s="5" t="inlineStr">
        <is>
          <t>PO Lines and Goods Receipt both key on PO Number (from PO Header) and SKU (from the live Shopify variant list), not a separate manual product list. Goods Receipt's Remaining Quantity and Variance from PO are computed by looking up PO Lines for the same PO Number + SKU.</t>
        </is>
      </c>
    </row>
    <row r="8" hidden="1" outlineLevel="1" ht="13" customHeight="1">
      <c r="A8" s="4" t="inlineStr">
        <is>
          <t>Future data source</t>
        </is>
      </c>
      <c r="B8" s="5" t="inlineStr">
        <is>
          <t>This IS the source today. Candidate for supplier-portal or accounting-system integration later (see Future Integrations in the Phase 0 architecture).</t>
        </is>
      </c>
    </row>
    <row r="9" hidden="1" outlineLevel="1"/>
    <row r="10" ht="6" customHeight="1"/>
    <row r="11" ht="15" customHeight="1">
      <c r="B11" s="6" t="inlineStr">
        <is>
          <t>ACTIVE SUPPLIERS</t>
        </is>
      </c>
      <c r="C11" s="7" t="n"/>
      <c r="D11" s="6" t="inlineStr">
        <is>
          <t>OPEN POS</t>
        </is>
      </c>
      <c r="E11" s="7" t="n"/>
      <c r="F11" s="6" t="inlineStr">
        <is>
          <t>PURCHASES YTD</t>
        </is>
      </c>
      <c r="G11" s="7" t="n"/>
      <c r="H11" s="6" t="inlineStr">
        <is>
          <t>OUTSTANDING RECEIPTS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SUPPLIER MASTER  (green cells = type here — Supplier ID is automatic)</t>
        </is>
      </c>
    </row>
    <row r="17" ht="18" customHeight="1">
      <c r="B17" s="17" t="inlineStr">
        <is>
          <t>Supplier ID</t>
        </is>
      </c>
      <c r="C17" s="17" t="inlineStr">
        <is>
          <t>Supplier Name</t>
        </is>
      </c>
      <c r="D17" s="17" t="inlineStr">
        <is>
          <t>Supplier Type</t>
        </is>
      </c>
      <c r="E17" s="17" t="inlineStr">
        <is>
          <t>Contact Person</t>
        </is>
      </c>
      <c r="F17" s="17" t="inlineStr">
        <is>
          <t>Phone</t>
        </is>
      </c>
      <c r="G17" s="17" t="inlineStr">
        <is>
          <t>Email</t>
        </is>
      </c>
      <c r="H17" s="17" t="inlineStr">
        <is>
          <t>Currency</t>
        </is>
      </c>
      <c r="I17" s="17" t="inlineStr">
        <is>
          <t>Payment Terms</t>
        </is>
      </c>
      <c r="J17" s="17" t="inlineStr">
        <is>
          <t>Status</t>
        </is>
      </c>
      <c r="K17" s="17" t="inlineStr">
        <is>
          <t>Notes</t>
        </is>
      </c>
    </row>
    <row r="18">
      <c r="B18" s="18">
        <f>"SUP-"&amp;TEXT(ROW()-17,"00000")</f>
        <v/>
      </c>
      <c r="C18" s="19" t="inlineStr">
        <is>
          <t>EXAMPLE — ABC Textiles</t>
        </is>
      </c>
      <c r="D18" s="19" t="inlineStr">
        <is>
          <t>Fabric</t>
        </is>
      </c>
      <c r="E18" s="19" t="inlineStr">
        <is>
          <t>Mona Ahmed</t>
        </is>
      </c>
      <c r="F18" s="19" t="inlineStr">
        <is>
          <t>+20 100 000 0000</t>
        </is>
      </c>
      <c r="G18" s="19" t="inlineStr">
        <is>
          <t>contact@example.com</t>
        </is>
      </c>
      <c r="H18" s="19" t="inlineStr">
        <is>
          <t>EGP</t>
        </is>
      </c>
      <c r="I18" s="19" t="inlineStr">
        <is>
          <t>Net 30</t>
        </is>
      </c>
      <c r="J18" s="19" t="inlineStr">
        <is>
          <t>Active</t>
        </is>
      </c>
      <c r="K18" s="19" t="n"/>
    </row>
    <row r="21">
      <c r="B21" s="10" t="inlineStr">
        <is>
          <t>PURCHASE ORDER HEADER  (green cells = type here — PO Number is automatic)</t>
        </is>
      </c>
    </row>
    <row r="22" ht="18" customHeight="1">
      <c r="B22" s="17" t="inlineStr">
        <is>
          <t>PO Number</t>
        </is>
      </c>
      <c r="C22" s="17" t="inlineStr">
        <is>
          <t>Supplier</t>
        </is>
      </c>
      <c r="D22" s="17" t="inlineStr">
        <is>
          <t>Order Date</t>
        </is>
      </c>
      <c r="E22" s="17" t="inlineStr">
        <is>
          <t>Expected Delivery Date</t>
        </is>
      </c>
      <c r="F22" s="17" t="inlineStr">
        <is>
          <t>Status</t>
        </is>
      </c>
      <c r="G22" s="17" t="inlineStr">
        <is>
          <t>Currency</t>
        </is>
      </c>
      <c r="H22" s="17" t="inlineStr">
        <is>
          <t>Notes</t>
        </is>
      </c>
    </row>
    <row r="23">
      <c r="B23" s="18">
        <f>"PO-"&amp;TEXT(ROW()-22,"00000")</f>
        <v/>
      </c>
      <c r="C23" s="19" t="inlineStr">
        <is>
          <t>EXAMPLE — ABC Textiles</t>
        </is>
      </c>
      <c r="D23" s="19" t="inlineStr">
        <is>
          <t>2026-01-10</t>
        </is>
      </c>
      <c r="E23" s="19" t="inlineStr">
        <is>
          <t>2026-01-24</t>
        </is>
      </c>
      <c r="F23" s="19" t="inlineStr">
        <is>
          <t>Draft</t>
        </is>
      </c>
      <c r="G23" s="19" t="inlineStr">
        <is>
          <t>EGP</t>
        </is>
      </c>
      <c r="H23" s="19" t="n"/>
    </row>
    <row r="26">
      <c r="B26" s="10" t="inlineStr">
        <is>
          <t>PURCHASE ORDER LINES  (green cells = type here — Total Cost is automatic)</t>
        </is>
      </c>
    </row>
    <row r="27" ht="18" customHeight="1">
      <c r="B27" s="17" t="inlineStr">
        <is>
          <t>PO Number</t>
        </is>
      </c>
      <c r="C27" s="17" t="inlineStr">
        <is>
          <t>SKU</t>
        </is>
      </c>
      <c r="D27" s="17" t="inlineStr">
        <is>
          <t>Quantity Ordered</t>
        </is>
      </c>
      <c r="E27" s="17" t="inlineStr">
        <is>
          <t>Unit Cost</t>
        </is>
      </c>
      <c r="F27" s="17" t="inlineStr">
        <is>
          <t>Total Cost</t>
        </is>
      </c>
    </row>
    <row r="28">
      <c r="B28" s="19" t="n"/>
      <c r="C28" s="19" t="n"/>
      <c r="D28" s="19" t="n">
        <v>50</v>
      </c>
      <c r="E28" s="19" t="n">
        <v>120</v>
      </c>
      <c r="F28" s="18">
        <f>[@[Quantity Ordered]]*[@[Unit Cost]]</f>
        <v/>
      </c>
    </row>
    <row r="31">
      <c r="B31" s="10" t="inlineStr">
        <is>
          <t>GOODS RECEIPT  (green cells = type here — Remaining Quantity and Variance from PO are automatic)</t>
        </is>
      </c>
    </row>
    <row r="32" ht="18" customHeight="1">
      <c r="B32" s="17" t="inlineStr">
        <is>
          <t>PO Number</t>
        </is>
      </c>
      <c r="C32" s="17" t="inlineStr">
        <is>
          <t>SKU</t>
        </is>
      </c>
      <c r="D32" s="17" t="inlineStr">
        <is>
          <t>Goods Received Date</t>
        </is>
      </c>
      <c r="E32" s="17" t="inlineStr">
        <is>
          <t>Quantity Received</t>
        </is>
      </c>
      <c r="F32" s="17" t="inlineStr">
        <is>
          <t>Remaining Quantity</t>
        </is>
      </c>
      <c r="G32" s="17" t="inlineStr">
        <is>
          <t>Actual Unit Cost</t>
        </is>
      </c>
      <c r="H32" s="17" t="inlineStr">
        <is>
          <t>Variance from PO</t>
        </is>
      </c>
      <c r="I32" s="17" t="inlineStr">
        <is>
          <t>Warehouse</t>
        </is>
      </c>
      <c r="J32" s="17" t="inlineStr">
        <is>
          <t>Receiver</t>
        </is>
      </c>
    </row>
    <row r="33">
      <c r="B33" s="19" t="n"/>
      <c r="C33" s="19" t="n"/>
      <c r="D33" s="19" t="inlineStr">
        <is>
          <t>2026-01-20</t>
        </is>
      </c>
      <c r="E33" s="19" t="n">
        <v>30</v>
      </c>
      <c r="F33" s="18">
        <f>SUMIFS(tbl_POLines[Quantity Ordered],tbl_POLines[PO Number],[@[PO Number]],tbl_POLines[SKU],[@SKU])-SUMIFS(tbl_GoodsReceipt[Quantity Received],tbl_GoodsReceipt[PO Number],[@[PO Number]],tbl_GoodsReceipt[SKU],[@SKU])</f>
        <v/>
      </c>
      <c r="G33" s="19" t="n">
        <v>122</v>
      </c>
      <c r="H33" s="18">
        <f>[@[Actual Unit Cost]]-SUMIFS(tbl_POLines[Unit Cost],tbl_POLines[PO Number],[@[PO Number]],tbl_POLines[SKU],[@SKU])</f>
        <v/>
      </c>
      <c r="I33" s="19" t="inlineStr">
        <is>
          <t>Main Warehouse</t>
        </is>
      </c>
      <c r="J33" s="19" t="n"/>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7:J7"/>
    <mergeCell ref="A1:J1"/>
    <mergeCell ref="B12:C13"/>
    <mergeCell ref="F11:G11"/>
    <mergeCell ref="B5:J5"/>
    <mergeCell ref="H11:I11"/>
    <mergeCell ref="F12:G13"/>
    <mergeCell ref="B11:C11"/>
    <mergeCell ref="H12:I13"/>
    <mergeCell ref="D11:E11"/>
    <mergeCell ref="A3:J3"/>
    <mergeCell ref="D12:E13"/>
    <mergeCell ref="B8:J8"/>
    <mergeCell ref="B4:J4"/>
    <mergeCell ref="A2:J2"/>
    <mergeCell ref="B6:J6"/>
  </mergeCells>
  <dataValidations count="11">
    <dataValidation sqref="D18:D501" showDropDown="0" showInputMessage="1" showErrorMessage="1" allowBlank="1" errorTitle="Invalid entry" error="Please choose a value from the Supplier Type list — free text isn't accepted here." promptTitle="Supplier Type" prompt="Choose from the Supplier Type list on 15_Settings." type="list" errorStyle="stop">
      <formula1>=LookupSupplierType</formula1>
    </dataValidation>
    <dataValidation sqref="H18: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J18:J501" showDropDown="0" showInputMessage="1" showErrorMessage="1" allowBlank="1" errorTitle="Invalid entry" error="Please choose a value from the Status list — free text isn't accepted here." promptTitle="Status" prompt="Choose from the Supplier Status list on 15_Settings." type="list" errorStyle="stop">
      <formula1>=LookupSupplierStatus</formula1>
    </dataValidation>
    <dataValidation sqref="C23:C501" showDropDown="0" showInputMessage="1" showErrorMessage="1" allowBlank="1" errorTitle="Invalid entry" error="Please choose a value from the Supplier list — free text isn't accepted here." promptTitle="Supplier" prompt="Choose from Supplier Master (this sheet, above)." type="list" errorStyle="stop">
      <formula1>=SupplierNameList</formula1>
    </dataValidation>
    <dataValidation sqref="F23:F501" showDropDown="0" showInputMessage="1" showErrorMessage="1" allowBlank="1" errorTitle="Invalid entry" error="Please choose a value from the Status list — free text isn't accepted here." promptTitle="Status" prompt="Draft → Approved → Sent → Partially Received → Received → Closed, or Cancelled at any point." type="list" errorStyle="stop">
      <formula1>=LookupPOStatus</formula1>
    </dataValidation>
    <dataValidation sqref="G23:G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B28: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28: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B33: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33: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I33:I501" showDropDown="0" showInputMessage="1" showErrorMessage="1" allowBlank="1" errorTitle="Invalid entry" error="Please choose a value from the Warehouse list — free text isn't accepted here." promptTitle="Warehouse" prompt="Choose from the Warehouse list on 15_Settings." type="list" errorStyle="stop">
      <formula1>=LookupWarehouse</formula1>
    </dataValidation>
  </dataValidations>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3.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Marketing</t>
        </is>
      </c>
    </row>
    <row r="2" ht="16" customHeight="1">
      <c r="A2" s="2" t="inlineStr">
        <is>
          <t>PASSRESS MIS   |   Home ▸ Marketing</t>
        </is>
      </c>
    </row>
    <row r="3" ht="14" customHeight="1">
      <c r="A3" s="3" t="inlineStr">
        <is>
          <t>Sheet Documentation  (use the  +  outline control at left to expand)</t>
        </is>
      </c>
    </row>
    <row r="4" hidden="1" outlineLevel="1" ht="13" customHeight="1">
      <c r="A4" s="4" t="inlineStr">
        <is>
          <t>Purpose</t>
        </is>
      </c>
      <c r="B4" s="5" t="inlineStr">
        <is>
          <t>Campaign and discount-code performance tracking; future home for ad-spend ROAS once integrated.</t>
        </is>
      </c>
    </row>
    <row r="5" hidden="1" outlineLevel="1" ht="13" customHeight="1">
      <c r="A5" s="4" t="inlineStr">
        <is>
          <t>Input tables</t>
        </is>
      </c>
      <c r="B5" s="5" t="inlineStr">
        <is>
          <t>DIM_Collection, FACT_OrderLines (discount amounts). Future: FACT_AdSpend.</t>
        </is>
      </c>
    </row>
    <row r="6" hidden="1" outlineLevel="1" ht="13" customHeight="1">
      <c r="A6" s="4" t="inlineStr">
        <is>
          <t>Output tables</t>
        </is>
      </c>
      <c r="B6" s="5" t="inlineStr">
        <is>
          <t>Marketing KPI row, Campaign Performance table, Discount Code Usage table.</t>
        </is>
      </c>
    </row>
    <row r="7" hidden="1" outlineLevel="1" ht="13" customHeight="1">
      <c r="A7" s="4" t="inlineStr">
        <is>
          <t>Relationships</t>
        </is>
      </c>
      <c r="B7" s="5" t="inlineStr">
        <is>
          <t>FACT_OrderLines[DiscountAmount] rolls up by campaign/discount code.</t>
        </is>
      </c>
    </row>
    <row r="8" hidden="1" outlineLevel="1" ht="13" customHeight="1">
      <c r="A8" s="4" t="inlineStr">
        <is>
          <t>Future data source</t>
        </is>
      </c>
      <c r="B8" s="5" t="inlineStr">
        <is>
          <t>RAW_Orders discount fields via Power Query — Phase 2. Meta/TikTok Ads API — future integration.</t>
        </is>
      </c>
    </row>
    <row r="9" hidden="1" outlineLevel="1"/>
    <row r="10" ht="6" customHeight="1"/>
    <row r="11" ht="15" customHeight="1">
      <c r="B11" s="6" t="inlineStr">
        <is>
          <t>TOTAL DISCOUNT GIVEN</t>
        </is>
      </c>
      <c r="C11" s="7" t="n"/>
      <c r="D11" s="6" t="inlineStr">
        <is>
          <t>ACTIVE CAMPAIGNS</t>
        </is>
      </c>
      <c r="E11" s="7" t="n"/>
      <c r="F11" s="6" t="inlineStr">
        <is>
          <t>DISCOUNT RATE %</t>
        </is>
      </c>
      <c r="G11" s="7" t="n"/>
      <c r="H11" s="6" t="inlineStr">
        <is>
          <t>ROAS (FUTURE)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Discount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Campaign Performance (PivotTable)  —  Placeholder, built in Phase 4 ]</t>
        </is>
      </c>
      <c r="C28" s="14" t="n"/>
      <c r="D28" s="14" t="n"/>
      <c r="E28" s="14" t="n"/>
      <c r="F28" s="14" t="n"/>
      <c r="G28" s="13" t="inlineStr">
        <is>
          <t>[ Discount Code Usage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14.xml><?xml version="1.0" encoding="utf-8"?>
<worksheet xmlns="http://schemas.openxmlformats.org/spreadsheetml/2006/main">
  <sheetPr>
    <tabColor rgb="00404040"/>
    <outlinePr applyStyles="1" summaryBelow="0" summaryRight="1"/>
    <pageSetUpPr/>
  </sheetPr>
  <dimension ref="A1:I23"/>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30" customWidth="1" min="3" max="3"/>
    <col width="14" customWidth="1" min="4" max="4"/>
    <col width="30" customWidth="1" min="5" max="5"/>
  </cols>
  <sheetData>
    <row r="1" ht="34" customHeight="1">
      <c r="A1" s="1" t="inlineStr">
        <is>
          <t>Data Quality</t>
        </is>
      </c>
    </row>
    <row r="2" ht="16" customHeight="1">
      <c r="A2" s="2" t="inlineStr">
        <is>
          <t>PASSRESS MIS   |   Home ▸ Data Quality</t>
        </is>
      </c>
    </row>
    <row r="3" ht="14" customHeight="1">
      <c r="A3" s="3" t="inlineStr">
        <is>
          <t>Sheet Documentation  (use the  +  outline control at left to expand)</t>
        </is>
      </c>
    </row>
    <row r="4" hidden="1" outlineLevel="1" ht="13" customHeight="1">
      <c r="A4" s="4" t="inlineStr">
        <is>
          <t>Purpose</t>
        </is>
      </c>
      <c r="B4" s="5" t="inlineStr">
        <is>
          <t>Monitors refresh health, row counts, and validation checks so data problems surface immediately instead of silently propagating into dashboards.</t>
        </is>
      </c>
    </row>
    <row r="5" hidden="1" outlineLevel="1" ht="13" customHeight="1">
      <c r="A5" s="4" t="inlineStr">
        <is>
          <t>Input tables</t>
        </is>
      </c>
      <c r="B5" s="5" t="inlineStr">
        <is>
          <t>LOG_RefreshHistory, LOG_DataQuality.</t>
        </is>
      </c>
    </row>
    <row r="6" hidden="1" outlineLevel="1" ht="13" customHeight="1">
      <c r="A6" s="4" t="inlineStr">
        <is>
          <t>Output tables</t>
        </is>
      </c>
      <c r="B6" s="5" t="inlineStr">
        <is>
          <t>Refresh Status Summary, Validation Rules.</t>
        </is>
      </c>
    </row>
    <row r="7" hidden="1" outlineLevel="1" ht="13" customHeight="1">
      <c r="A7" s="4" t="inlineStr">
        <is>
          <t>Relationships</t>
        </is>
      </c>
      <c r="B7" s="5" t="inlineStr">
        <is>
          <t>Reads directly from the two hidden LOG_ sheets — this is their human-facing display, not a separate data source.</t>
        </is>
      </c>
    </row>
    <row r="8" hidden="1" outlineLevel="1" ht="13" customHeight="1">
      <c r="A8" s="4" t="inlineStr">
        <is>
          <t>Future data source</t>
        </is>
      </c>
      <c r="B8" s="5" t="inlineStr">
        <is>
          <t>LOG_RefreshHistory / LOG_DataQuality, populated by Power Query refresh events — Phase 2.</t>
        </is>
      </c>
    </row>
    <row r="9" hidden="1" outlineLevel="1"/>
    <row r="10" ht="6" customHeight="1"/>
    <row r="11" ht="15" customHeight="1">
      <c r="B11" s="6" t="inlineStr">
        <is>
          <t>LAST REFRESH</t>
        </is>
      </c>
      <c r="C11" s="7" t="n"/>
      <c r="D11" s="6" t="inlineStr">
        <is>
          <t>ROWS LOADED</t>
        </is>
      </c>
      <c r="E11" s="7" t="n"/>
      <c r="F11" s="6" t="inlineStr">
        <is>
          <t>ERRORS FOUND</t>
        </is>
      </c>
      <c r="G11" s="7" t="n"/>
      <c r="H11" s="6" t="inlineStr">
        <is>
          <t>DATA FRESHNESS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VALIDATION RULES  (orange cells = configurable)</t>
        </is>
      </c>
    </row>
    <row r="17" ht="18" customHeight="1">
      <c r="B17" s="22" t="inlineStr">
        <is>
          <t>Rule ID</t>
        </is>
      </c>
      <c r="C17" s="22" t="inlineStr">
        <is>
          <t>Check Name</t>
        </is>
      </c>
      <c r="D17" s="22" t="inlineStr">
        <is>
          <t>Applies To</t>
        </is>
      </c>
      <c r="E17" s="22" t="inlineStr">
        <is>
          <t>Threshold</t>
        </is>
      </c>
    </row>
    <row r="18">
      <c r="B18" s="23" t="inlineStr">
        <is>
          <t>DQ-001</t>
        </is>
      </c>
      <c r="C18" s="23" t="inlineStr">
        <is>
          <t>No orders older than lookback window missing</t>
        </is>
      </c>
      <c r="D18" s="23" t="inlineStr">
        <is>
          <t>RAW_Orders</t>
        </is>
      </c>
      <c r="E18" s="23" t="inlineStr">
        <is>
          <t>0 gaps</t>
        </is>
      </c>
    </row>
    <row r="21">
      <c r="B21" s="10" t="inlineStr">
        <is>
          <t>REFRESH STATUS SUMMARY  (calculated — Phase 2)</t>
        </is>
      </c>
    </row>
    <row r="22" ht="18" customHeight="1">
      <c r="B22" s="24" t="inlineStr">
        <is>
          <t>Table</t>
        </is>
      </c>
      <c r="C22" s="24" t="inlineStr">
        <is>
          <t>Last Refreshed</t>
        </is>
      </c>
      <c r="D22" s="24" t="inlineStr">
        <is>
          <t>Row Count</t>
        </is>
      </c>
      <c r="E22" s="24" t="inlineStr">
        <is>
          <t>Status</t>
        </is>
      </c>
    </row>
    <row r="23">
      <c r="B23" s="18" t="n"/>
      <c r="C23" s="18" t="n"/>
      <c r="D23" s="18" t="n"/>
      <c r="E23" s="18" t="n"/>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B8:E8"/>
    <mergeCell ref="H12:I13"/>
    <mergeCell ref="B4:E4"/>
    <mergeCell ref="A2:E2"/>
    <mergeCell ref="B11:C11"/>
    <mergeCell ref="F12:G13"/>
    <mergeCell ref="D11:E11"/>
    <mergeCell ref="B6:E6"/>
    <mergeCell ref="D12:E13"/>
    <mergeCell ref="B7:E7"/>
    <mergeCell ref="A1:E1"/>
    <mergeCell ref="B5:E5"/>
    <mergeCell ref="A3:E3"/>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5.xml><?xml version="1.0" encoding="utf-8"?>
<worksheet xmlns="http://schemas.openxmlformats.org/spreadsheetml/2006/main">
  <sheetPr>
    <tabColor rgb="00404040"/>
    <outlinePr applyStyles="1" summaryBelow="0" summaryRight="1"/>
    <pageSetUpPr/>
  </sheetPr>
  <dimension ref="A1:F125"/>
  <sheetViews>
    <sheetView showGridLines="0" workbookViewId="0">
      <pane ySplit="10" topLeftCell="A11" activePane="bottomLeft" state="frozen"/>
      <selection pane="bottomLeft" activeCell="A1" sqref="A1"/>
    </sheetView>
  </sheetViews>
  <sheetFormatPr baseColWidth="8" defaultRowHeight="15"/>
  <cols>
    <col width="3" customWidth="1" min="1" max="1"/>
    <col width="18" customWidth="1" min="2" max="2"/>
    <col width="22" customWidth="1" min="3" max="3"/>
    <col width="44" customWidth="1" min="4" max="4"/>
  </cols>
  <sheetData>
    <row r="1" ht="34" customHeight="1">
      <c r="A1" s="1" t="inlineStr">
        <is>
          <t>Settings</t>
        </is>
      </c>
    </row>
    <row r="2" ht="16" customHeight="1">
      <c r="A2" s="2" t="inlineStr">
        <is>
          <t>PASSRESS MIS   |   Home ▸ Settings</t>
        </is>
      </c>
    </row>
    <row r="3" ht="14" customHeight="1">
      <c r="A3" s="3" t="inlineStr">
        <is>
          <t>Sheet Documentation  (use the  +  outline control at left to expand)</t>
        </is>
      </c>
    </row>
    <row r="4" hidden="1" outlineLevel="1" ht="13" customHeight="1">
      <c r="A4" s="4" t="inlineStr">
        <is>
          <t>Purpose</t>
        </is>
      </c>
      <c r="B4" s="5" t="inlineStr">
        <is>
          <t>Central control panel — every configurable parameter the rest of the workbook depends on. The single place non-technical changes should be made.</t>
        </is>
      </c>
    </row>
    <row r="5" hidden="1" outlineLevel="1" ht="13" customHeight="1">
      <c r="A5" s="4" t="inlineStr">
        <is>
          <t>Input tables</t>
        </is>
      </c>
      <c r="B5" s="5" t="inlineStr">
        <is>
          <t>None — this sheet is the input.</t>
        </is>
      </c>
    </row>
    <row r="6" hidden="1" outlineLevel="1" ht="13" customHeight="1">
      <c r="A6" s="4" t="inlineStr">
        <is>
          <t>Output tables</t>
        </is>
      </c>
      <c r="B6" s="5" t="inlineStr">
        <is>
          <t>DIM_Parameters (disconnected DAX table mirrors these values), Power Query parameters (Phase 2), Chart of Accounts mapping used by 08_Finance/09_Profitability.</t>
        </is>
      </c>
    </row>
    <row r="7" hidden="1" outlineLevel="1" ht="13" customHeight="1">
      <c r="A7" s="4" t="inlineStr">
        <is>
          <t>Relationships</t>
        </is>
      </c>
      <c r="B7" s="5" t="inlineStr">
        <is>
          <t>Every Power Query parameter and every DAX measure that needs a configurable constant reads from here — never hardcoded elsewhere.</t>
        </is>
      </c>
    </row>
    <row r="8" hidden="1" outlineLevel="1" ht="13" customHeight="1">
      <c r="A8" s="4" t="inlineStr">
        <is>
          <t>Future data source</t>
        </is>
      </c>
      <c r="B8" s="5" t="inlineStr">
        <is>
          <t>This IS the source. No external system.</t>
        </is>
      </c>
    </row>
    <row r="9" hidden="1" outlineLevel="1"/>
    <row r="10" ht="6" customHeight="1"/>
    <row r="11">
      <c r="B11" s="10" t="inlineStr">
        <is>
          <t>GENERAL SETTINGS  (orange cells = configurable)</t>
        </is>
      </c>
    </row>
    <row r="12" ht="16" customHeight="1">
      <c r="B12" s="25" t="inlineStr">
        <is>
          <t>Parameter</t>
        </is>
      </c>
      <c r="C12" s="25" t="inlineStr">
        <is>
          <t>Value</t>
        </is>
      </c>
      <c r="D12" s="25" t="inlineStr">
        <is>
          <t>Description</t>
        </is>
      </c>
    </row>
    <row r="13">
      <c r="B13" s="26" t="inlineStr">
        <is>
          <t>Company Name</t>
        </is>
      </c>
      <c r="C13" s="27" t="inlineStr">
        <is>
          <t>Passress</t>
        </is>
      </c>
      <c r="D13" s="28" t="inlineStr">
        <is>
          <t>Legal/trading name shown across dashboards.</t>
        </is>
      </c>
    </row>
    <row r="14">
      <c r="B14" s="26" t="inlineStr">
        <is>
          <t>Base Currency</t>
        </is>
      </c>
      <c r="C14" s="27" t="inlineStr">
        <is>
          <t>EGP</t>
        </is>
      </c>
      <c r="D14" s="28" t="inlineStr">
        <is>
          <t>Currency all imported Shopify data is stored in.</t>
        </is>
      </c>
    </row>
    <row r="15">
      <c r="B15" s="26" t="inlineStr">
        <is>
          <t>Reporting Currency</t>
        </is>
      </c>
      <c r="C15" s="27" t="inlineStr">
        <is>
          <t>EGP</t>
        </is>
      </c>
      <c r="D15" s="28" t="inlineStr">
        <is>
          <t>Currency used for dashboard display. Phase 1: same as base.</t>
        </is>
      </c>
    </row>
    <row r="16">
      <c r="B16" s="26" t="inlineStr">
        <is>
          <t>Fiscal Year Start Month</t>
        </is>
      </c>
      <c r="C16" s="27" t="inlineStr">
        <is>
          <t>January</t>
        </is>
      </c>
      <c r="D16" s="28" t="inlineStr">
        <is>
          <t>First month of fiscal year, used for YTD/FY calculations.</t>
        </is>
      </c>
    </row>
    <row r="17">
      <c r="B17" s="26" t="inlineStr">
        <is>
          <t>Default VAT Rate</t>
        </is>
      </c>
      <c r="C17" s="27" t="inlineStr">
        <is>
          <t>14%</t>
        </is>
      </c>
      <c r="D17" s="28" t="inlineStr">
        <is>
          <t>Egypt standard VAT — used for tax reconciliation.</t>
        </is>
      </c>
    </row>
    <row r="18">
      <c r="B18" s="26" t="inlineStr">
        <is>
          <t>Target Gross Margin %</t>
        </is>
      </c>
      <c r="C18" s="27" t="inlineStr">
        <is>
          <t>55%</t>
        </is>
      </c>
      <c r="D18" s="28" t="inlineStr">
        <is>
          <t>Benchmark used for profitability flags (Phase 3).</t>
        </is>
      </c>
    </row>
    <row r="21">
      <c r="B21" s="10" t="inlineStr">
        <is>
          <t>SHOPIFY CONNECTION SETTINGS  (fill in Store Domain to go live; token is never stored here)</t>
        </is>
      </c>
    </row>
    <row r="22" ht="16" customHeight="1">
      <c r="B22" s="25" t="inlineStr">
        <is>
          <t>Parameter</t>
        </is>
      </c>
      <c r="C22" s="25" t="inlineStr">
        <is>
          <t>Value</t>
        </is>
      </c>
      <c r="D22" s="25" t="inlineStr">
        <is>
          <t>Description</t>
        </is>
      </c>
    </row>
    <row r="23">
      <c r="B23" s="26" t="inlineStr">
        <is>
          <t>Shopify Store Domain</t>
        </is>
      </c>
      <c r="C23" s="27" t="inlineStr">
        <is>
          <t>your-store.myshopify.com</t>
        </is>
      </c>
      <c r="D23" s="28" t="inlineStr">
        <is>
          <t>Set this to your real *.myshopify.com domain to go live. The access token itself is never stored in this workbook — see power-query/README.md.</t>
        </is>
      </c>
    </row>
    <row r="24">
      <c r="B24" s="26" t="inlineStr">
        <is>
          <t>Shopify API Version</t>
        </is>
      </c>
      <c r="C24" s="27" t="inlineStr">
        <is>
          <t>2025-01</t>
        </is>
      </c>
      <c r="D24" s="28" t="inlineStr">
        <is>
          <t>Admin GraphQL API version pinned for Power Query — reviewed twice a year.</t>
        </is>
      </c>
    </row>
    <row r="25">
      <c r="B25" s="26" t="inlineStr">
        <is>
          <t>Lookback Days (Incremental Refresh)</t>
        </is>
      </c>
      <c r="C25" s="27" t="inlineStr">
        <is>
          <t>7</t>
        </is>
      </c>
      <c r="D25" s="28" t="inlineStr">
        <is>
          <t>Rolling re-check window: days of history re-pulled on every refresh so late-updated records are never missed.</t>
        </is>
      </c>
    </row>
    <row r="26">
      <c r="B26" s="26" t="inlineStr">
        <is>
          <t>Historical Backfill Start Date</t>
        </is>
      </c>
      <c r="C26" s="27" t="inlineStr">
        <is>
          <t>2024-01-01</t>
        </is>
      </c>
      <c r="D26" s="28" t="inlineStr">
        <is>
          <t>Earliest date fetched on a first-ever run (empty staging table). Ignored once a table has data — Lookback Days takes over.</t>
        </is>
      </c>
    </row>
    <row r="27">
      <c r="B27" s="26" t="inlineStr">
        <is>
          <t>Max Pages Per Refresh (Safety Cap)</t>
        </is>
      </c>
      <c r="C27" s="27" t="inlineStr">
        <is>
          <t>500</t>
        </is>
      </c>
      <c r="D27" s="28" t="inlineStr">
        <is>
          <t>Hard stop on pagination per query per refresh (500 pages x 250 records ≈ 125,000 rows), so a misconfigured filter can't run away.</t>
        </is>
      </c>
    </row>
    <row r="30">
      <c r="B30" s="10" t="inlineStr">
        <is>
          <t>CHART OF ACCOUNTS MAPPING  (orange cells = configurable)</t>
        </is>
      </c>
    </row>
    <row r="31" ht="18" customHeight="1">
      <c r="B31" s="22" t="inlineStr">
        <is>
          <t>Account Code</t>
        </is>
      </c>
      <c r="C31" s="22" t="inlineStr">
        <is>
          <t>Account Name</t>
        </is>
      </c>
      <c r="D31" s="22" t="inlineStr">
        <is>
          <t>Statement</t>
        </is>
      </c>
      <c r="E31" s="22" t="inlineStr">
        <is>
          <t>P&amp;L / BS Line</t>
        </is>
      </c>
      <c r="F31" s="22" t="inlineStr">
        <is>
          <t>Source</t>
        </is>
      </c>
    </row>
    <row r="32">
      <c r="B32" s="23" t="inlineStr">
        <is>
          <t>4000</t>
        </is>
      </c>
      <c r="C32" s="23" t="inlineStr">
        <is>
          <t>EXAMPLE — Net Sales</t>
        </is>
      </c>
      <c r="D32" s="23" t="inlineStr">
        <is>
          <t>P&amp;L</t>
        </is>
      </c>
      <c r="E32" s="23" t="inlineStr">
        <is>
          <t>Revenue</t>
        </is>
      </c>
      <c r="F32" s="23" t="inlineStr">
        <is>
          <t>FACT_OrderLines</t>
        </is>
      </c>
    </row>
    <row r="35">
      <c r="B35" s="10" t="inlineStr">
        <is>
          <t>WORKBOOK VERSION LOG  (system-maintained — every phase appends a row here)</t>
        </is>
      </c>
    </row>
    <row r="36" ht="18" customHeight="1">
      <c r="B36" s="24" t="inlineStr">
        <is>
          <t>Version</t>
        </is>
      </c>
      <c r="C36" s="24" t="inlineStr">
        <is>
          <t>Date</t>
        </is>
      </c>
      <c r="D36" s="24" t="inlineStr">
        <is>
          <t>Phase</t>
        </is>
      </c>
      <c r="E36" s="24" t="inlineStr">
        <is>
          <t>Summary</t>
        </is>
      </c>
    </row>
    <row r="37">
      <c r="B37" s="18" t="inlineStr">
        <is>
          <t>1.0</t>
        </is>
      </c>
      <c r="C37" s="18" t="inlineStr">
        <is>
          <t>2026-07-26</t>
        </is>
      </c>
      <c r="D37" s="18" t="inlineStr">
        <is>
          <t>Phase 1 — Workbook Foundation</t>
        </is>
      </c>
      <c r="E37" s="18" t="inlineStr">
        <is>
          <t>Structure, tables, named ranges, documentation. No live data, no calculations.</t>
        </is>
      </c>
    </row>
    <row r="38">
      <c r="B38" s="18" t="inlineStr">
        <is>
          <t>1.1</t>
        </is>
      </c>
      <c r="C38" s="18" t="inlineStr">
        <is>
          <t>2026-07-26</t>
        </is>
      </c>
      <c r="D38" s="18" t="inlineStr">
        <is>
          <t>Phase 1 Finalization</t>
        </is>
      </c>
      <c r="E38" s="18" t="inlineStr">
        <is>
          <t>01_Home's Workbook Version / Phase Completed KPI cards now read this table's last row live via formula — every future phase appends a row here and Home updates automatically.</t>
        </is>
      </c>
    </row>
    <row r="39">
      <c r="B39" s="18" t="inlineStr">
        <is>
          <t>2.0</t>
        </is>
      </c>
      <c r="C39" s="18" t="inlineStr">
        <is>
          <t>2026-07-26</t>
        </is>
      </c>
      <c r="D39" s="18" t="inlineStr">
        <is>
          <t>Phase 2 — Shopify GraphQL Ingestion Layer</t>
        </is>
      </c>
      <c r="E39" s="18" t="inlineStr">
        <is>
          <t>Complete Power Query M layer: authentication (Extension.CurrentCredential, no hardcoded tokens), automatic cursor pagination, incremental refresh, HTTP/GraphQL error handling with backoff. Covers Products, Variants, Orders, Order Lines, Customers, Collections, Inventory Levels, Transactions, Refunds, Discounts — read-only (GraphQL query operations only). Added RAW_Transactions and RAW_Discounts staging sheets; revised RAW_Refunds and RAW_InventoryLevels to match verified Shopify Admin API schema. See /passress-mis/power-query/README.md and DOCUMENTATION.md. No dashboards yet.</t>
        </is>
      </c>
    </row>
    <row r="40">
      <c r="B40" s="18" t="inlineStr">
        <is>
          <t>3.0</t>
        </is>
      </c>
      <c r="C40" s="18" t="inlineStr">
        <is>
          <t>2026-07-26</t>
        </is>
      </c>
      <c r="D40" s="18" t="inlineStr">
        <is>
          <t>Phase 3 — Business Master Data &amp; Manual-Entry Engine</t>
        </is>
      </c>
      <c r="E40" s="18" t="inlineStr">
        <is>
          <t>Product Cost Master with historical/versioned costing (05_Products). Complete Manual Expenses module: category/subcategory lookups, duplicate-flag column, document references (10_Expenses). Capital module (11_Capital). Expanded Supplier Master + full Purchase Order engine — Header/Lines/Goods Receipt with a Draft-to-Closed status workflow (12_Suppliers). Every dropdown sourced from an editable lookup table on 15_Settings — no hardcoded values — with input prompts and stop-on-error messages. SKU/Collection dropdowns reference the live Shopify RAW_ tables, not a separate manual list. New hidden Data-Model-ready mirrors: DIM_Supplier, DIM_ProductCostHistory, FACT_CapitalTransactions, FACT_PurchaseOrderHeader, FACT_PurchaseOrderLines, FACT_GoodsReceipt. See /passress-mis/PHASE3_DOCUMENTATION.md. Still no dashboards, PivotTables, DAX, or financial statements.</t>
        </is>
      </c>
    </row>
    <row r="43">
      <c r="B43" s="10" t="inlineStr">
        <is>
          <t>MASTER DATA LOOKUP TABLES  (orange cells = configurable — edit freely, every dropdown in the workbook reads from here)</t>
        </is>
      </c>
    </row>
    <row r="44" ht="16" customHeight="1">
      <c r="B44" s="25" t="inlineStr">
        <is>
          <t>Expense Category</t>
        </is>
      </c>
    </row>
    <row r="45">
      <c r="B45" s="29" t="inlineStr">
        <is>
          <t>Rent</t>
        </is>
      </c>
    </row>
    <row r="46">
      <c r="B46" s="29" t="inlineStr">
        <is>
          <t>Utilities</t>
        </is>
      </c>
    </row>
    <row r="47">
      <c r="B47" s="29" t="inlineStr">
        <is>
          <t>Salaries</t>
        </is>
      </c>
    </row>
    <row r="48">
      <c r="B48" s="29" t="inlineStr">
        <is>
          <t>Marketing</t>
        </is>
      </c>
    </row>
    <row r="49">
      <c r="B49" s="29" t="inlineStr">
        <is>
          <t>Shipping &amp; Logistics</t>
        </is>
      </c>
    </row>
    <row r="50">
      <c r="B50" s="29" t="inlineStr">
        <is>
          <t>Packaging</t>
        </is>
      </c>
    </row>
    <row r="51">
      <c r="B51" s="29" t="inlineStr">
        <is>
          <t>Software &amp; Subscriptions</t>
        </is>
      </c>
    </row>
    <row r="52">
      <c r="B52" s="29" t="inlineStr">
        <is>
          <t>Professional Fees</t>
        </is>
      </c>
    </row>
    <row r="53">
      <c r="B53" s="29" t="inlineStr">
        <is>
          <t>Bank Charges</t>
        </is>
      </c>
    </row>
    <row r="54">
      <c r="B54" s="29" t="inlineStr">
        <is>
          <t>Other</t>
        </is>
      </c>
    </row>
    <row r="56" ht="16" customHeight="1">
      <c r="B56" s="25" t="inlineStr">
        <is>
          <t>Expense Subcategory</t>
        </is>
      </c>
    </row>
    <row r="57">
      <c r="B57" s="29" t="inlineStr">
        <is>
          <t>General</t>
        </is>
      </c>
    </row>
    <row r="58">
      <c r="B58" s="29" t="inlineStr">
        <is>
          <t>Office</t>
        </is>
      </c>
    </row>
    <row r="59">
      <c r="B59" s="29" t="inlineStr">
        <is>
          <t>Warehouse</t>
        </is>
      </c>
    </row>
    <row r="60">
      <c r="B60" s="29" t="inlineStr">
        <is>
          <t>Online Ads</t>
        </is>
      </c>
    </row>
    <row r="61">
      <c r="B61" s="29" t="inlineStr">
        <is>
          <t>Influencer</t>
        </is>
      </c>
    </row>
    <row r="62">
      <c r="B62" s="29" t="inlineStr">
        <is>
          <t>Photography</t>
        </is>
      </c>
    </row>
    <row r="63">
      <c r="B63" s="29" t="inlineStr">
        <is>
          <t>Courier</t>
        </is>
      </c>
    </row>
    <row r="64">
      <c r="B64" s="29" t="inlineStr">
        <is>
          <t>Customs &amp; Duties</t>
        </is>
      </c>
    </row>
    <row r="65">
      <c r="B65" s="29" t="inlineStr">
        <is>
          <t>Software License</t>
        </is>
      </c>
    </row>
    <row r="66">
      <c r="B66" s="29" t="inlineStr">
        <is>
          <t>Legal</t>
        </is>
      </c>
    </row>
    <row r="67">
      <c r="B67" s="29" t="inlineStr">
        <is>
          <t>Accounting</t>
        </is>
      </c>
    </row>
    <row r="68">
      <c r="B68" s="29" t="inlineStr">
        <is>
          <t>Other</t>
        </is>
      </c>
    </row>
    <row r="70" ht="16" customHeight="1">
      <c r="B70" s="25" t="inlineStr">
        <is>
          <t>Cost Center</t>
        </is>
      </c>
    </row>
    <row r="71">
      <c r="B71" s="29" t="inlineStr">
        <is>
          <t>Head Office</t>
        </is>
      </c>
    </row>
    <row r="72">
      <c r="B72" s="29" t="inlineStr">
        <is>
          <t>Warehouse</t>
        </is>
      </c>
    </row>
    <row r="73">
      <c r="B73" s="29" t="inlineStr">
        <is>
          <t>E-Commerce</t>
        </is>
      </c>
    </row>
    <row r="74">
      <c r="B74" s="29" t="inlineStr">
        <is>
          <t>Marketing</t>
        </is>
      </c>
    </row>
    <row r="75">
      <c r="B75" s="29" t="inlineStr">
        <is>
          <t>Production</t>
        </is>
      </c>
    </row>
    <row r="77" ht="16" customHeight="1">
      <c r="B77" s="25" t="inlineStr">
        <is>
          <t>Payment Method</t>
        </is>
      </c>
    </row>
    <row r="78">
      <c r="B78" s="29" t="inlineStr">
        <is>
          <t>Bank Transfer</t>
        </is>
      </c>
    </row>
    <row r="79">
      <c r="B79" s="29" t="inlineStr">
        <is>
          <t>Cash</t>
        </is>
      </c>
    </row>
    <row r="80">
      <c r="B80" s="29" t="inlineStr">
        <is>
          <t>Credit Card</t>
        </is>
      </c>
    </row>
    <row r="81">
      <c r="B81" s="29" t="inlineStr">
        <is>
          <t>Instapay</t>
        </is>
      </c>
    </row>
    <row r="82">
      <c r="B82" s="29" t="inlineStr">
        <is>
          <t>Cheque</t>
        </is>
      </c>
    </row>
    <row r="83">
      <c r="B83" s="29" t="inlineStr">
        <is>
          <t>Other</t>
        </is>
      </c>
    </row>
    <row r="85" ht="16" customHeight="1">
      <c r="B85" s="25" t="inlineStr">
        <is>
          <t>Currency</t>
        </is>
      </c>
    </row>
    <row r="86">
      <c r="B86" s="29" t="inlineStr">
        <is>
          <t>EGP</t>
        </is>
      </c>
    </row>
    <row r="87">
      <c r="B87" s="29" t="inlineStr">
        <is>
          <t>USD</t>
        </is>
      </c>
    </row>
    <row r="88">
      <c r="B88" s="29" t="inlineStr">
        <is>
          <t>EUR</t>
        </is>
      </c>
    </row>
    <row r="89">
      <c r="B89" s="29" t="inlineStr">
        <is>
          <t>GBP</t>
        </is>
      </c>
    </row>
    <row r="91" ht="16" customHeight="1">
      <c r="B91" s="25" t="inlineStr">
        <is>
          <t>Supplier Type</t>
        </is>
      </c>
    </row>
    <row r="92">
      <c r="B92" s="29" t="inlineStr">
        <is>
          <t>Fabric</t>
        </is>
      </c>
    </row>
    <row r="93">
      <c r="B93" s="29" t="inlineStr">
        <is>
          <t>Accessories</t>
        </is>
      </c>
    </row>
    <row r="94">
      <c r="B94" s="29" t="inlineStr">
        <is>
          <t>Manufacturing</t>
        </is>
      </c>
    </row>
    <row r="95">
      <c r="B95" s="29" t="inlineStr">
        <is>
          <t>Packaging</t>
        </is>
      </c>
    </row>
    <row r="96">
      <c r="B96" s="29" t="inlineStr">
        <is>
          <t>Logistics</t>
        </is>
      </c>
    </row>
    <row r="97">
      <c r="B97" s="29" t="inlineStr">
        <is>
          <t>Marketing Agency</t>
        </is>
      </c>
    </row>
    <row r="98">
      <c r="B98" s="29" t="inlineStr">
        <is>
          <t>Software Vendor</t>
        </is>
      </c>
    </row>
    <row r="99">
      <c r="B99" s="29" t="inlineStr">
        <is>
          <t>Other</t>
        </is>
      </c>
    </row>
    <row r="101" ht="16" customHeight="1">
      <c r="B101" s="25" t="inlineStr">
        <is>
          <t>Supplier Status</t>
        </is>
      </c>
    </row>
    <row r="102">
      <c r="B102" s="29" t="inlineStr">
        <is>
          <t>Active</t>
        </is>
      </c>
    </row>
    <row r="103">
      <c r="B103" s="29" t="inlineStr">
        <is>
          <t>Inactive</t>
        </is>
      </c>
    </row>
    <row r="104">
      <c r="B104" s="29" t="inlineStr">
        <is>
          <t>On Hold</t>
        </is>
      </c>
    </row>
    <row r="106" ht="16" customHeight="1">
      <c r="B106" s="25" t="inlineStr">
        <is>
          <t>Capital Transaction Type</t>
        </is>
      </c>
    </row>
    <row r="107">
      <c r="B107" s="29" t="inlineStr">
        <is>
          <t>Capital Contribution</t>
        </is>
      </c>
    </row>
    <row r="108">
      <c r="B108" s="29" t="inlineStr">
        <is>
          <t>Capital Withdrawal</t>
        </is>
      </c>
    </row>
    <row r="110" ht="16" customHeight="1">
      <c r="B110" s="25" t="inlineStr">
        <is>
          <t>PO Status</t>
        </is>
      </c>
    </row>
    <row r="111">
      <c r="B111" s="29" t="inlineStr">
        <is>
          <t>Draft</t>
        </is>
      </c>
    </row>
    <row r="112">
      <c r="B112" s="29" t="inlineStr">
        <is>
          <t>Approved</t>
        </is>
      </c>
    </row>
    <row r="113">
      <c r="B113" s="29" t="inlineStr">
        <is>
          <t>Sent</t>
        </is>
      </c>
    </row>
    <row r="114">
      <c r="B114" s="29" t="inlineStr">
        <is>
          <t>Partially Received</t>
        </is>
      </c>
    </row>
    <row r="115">
      <c r="B115" s="29" t="inlineStr">
        <is>
          <t>Received</t>
        </is>
      </c>
    </row>
    <row r="116">
      <c r="B116" s="29" t="inlineStr">
        <is>
          <t>Closed</t>
        </is>
      </c>
    </row>
    <row r="117">
      <c r="B117" s="29" t="inlineStr">
        <is>
          <t>Cancelled</t>
        </is>
      </c>
    </row>
    <row r="119" ht="16" customHeight="1">
      <c r="B119" s="25" t="inlineStr">
        <is>
          <t>Warehouse</t>
        </is>
      </c>
    </row>
    <row r="120">
      <c r="B120" s="29" t="inlineStr">
        <is>
          <t>Main Warehouse</t>
        </is>
      </c>
    </row>
    <row r="121">
      <c r="B121" s="29" t="inlineStr">
        <is>
          <t>Retail Store</t>
        </is>
      </c>
    </row>
    <row r="122">
      <c r="B122" s="29" t="inlineStr">
        <is>
          <t>Third-Party Logistics</t>
        </is>
      </c>
    </row>
    <row r="124" ht="16" customHeight="1">
      <c r="B124" s="25" t="inlineStr">
        <is>
          <t>Owner</t>
        </is>
      </c>
    </row>
    <row r="125">
      <c r="B125" s="29" t="inlineStr">
        <is>
          <t>Founder</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pageMargins left="0.75" right="0.75" top="1" bottom="1" header="0.5" footer="0.5"/>
  <tableParts count="13">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s>
</worksheet>
</file>

<file path=xl/worksheets/sheet16.xml><?xml version="1.0" encoding="utf-8"?>
<worksheet xmlns="http://schemas.openxmlformats.org/spreadsheetml/2006/main">
  <sheetPr>
    <tabColor rgb="000070C0"/>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RAW_Orders</t>
        </is>
      </c>
    </row>
    <row r="2" ht="16" customHeight="1">
      <c r="A2" s="2" t="inlineStr">
        <is>
          <t>PASSRESS MIS   |   Home ▸ RAW_Orders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OrderID</t>
        </is>
      </c>
      <c r="C11" s="30" t="inlineStr">
        <is>
          <t>OrderNumber</t>
        </is>
      </c>
      <c r="D11" s="30" t="inlineStr">
        <is>
          <t>CreatedAt</t>
        </is>
      </c>
      <c r="E11" s="30" t="inlineStr">
        <is>
          <t>UpdatedAt</t>
        </is>
      </c>
      <c r="F11" s="30" t="inlineStr">
        <is>
          <t>FinancialStatus</t>
        </is>
      </c>
      <c r="G11" s="30" t="inlineStr">
        <is>
          <t>FulfillmentStatus</t>
        </is>
      </c>
      <c r="H11" s="30" t="inlineStr">
        <is>
          <t>Currency</t>
        </is>
      </c>
      <c r="I11" s="30" t="inlineStr">
        <is>
          <t>TotalPrice</t>
        </is>
      </c>
      <c r="J11" s="30" t="inlineStr">
        <is>
          <t>SubtotalPrice</t>
        </is>
      </c>
      <c r="K11" s="30" t="inlineStr">
        <is>
          <t>TotalDiscounts</t>
        </is>
      </c>
      <c r="L11" s="30" t="inlineStr">
        <is>
          <t>TotalTax</t>
        </is>
      </c>
      <c r="M11" s="30" t="inlineStr">
        <is>
          <t>CustomerID</t>
        </is>
      </c>
      <c r="N11" s="30" t="inlineStr">
        <is>
          <t>LocationID</t>
        </is>
      </c>
    </row>
    <row r="12">
      <c r="B12" s="31" t="n"/>
      <c r="C12" s="31" t="n"/>
      <c r="D12" s="31" t="n"/>
      <c r="E12" s="31" t="n"/>
      <c r="F12" s="31" t="n"/>
      <c r="G12" s="31" t="n"/>
      <c r="H12" s="31" t="n"/>
      <c r="I12" s="31" t="n"/>
      <c r="J12" s="31" t="n"/>
      <c r="K12" s="31" t="n"/>
      <c r="L12" s="31" t="n"/>
      <c r="M12" s="31" t="n"/>
      <c r="N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RAW_OrderLines</t>
        </is>
      </c>
    </row>
    <row r="2" ht="16" customHeight="1">
      <c r="A2" s="2" t="inlineStr">
        <is>
          <t>PASSRESS MIS   |   Home ▸ RAW_OrderLines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OrderLines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passress-mis/power-query/staging/RAW_OrderLines.pq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LineItemID</t>
        </is>
      </c>
      <c r="C11" s="30" t="inlineStr">
        <is>
          <t>OrderID</t>
        </is>
      </c>
      <c r="D11" s="30" t="inlineStr">
        <is>
          <t>ProductID</t>
        </is>
      </c>
      <c r="E11" s="30" t="inlineStr">
        <is>
          <t>VariantID</t>
        </is>
      </c>
      <c r="F11" s="30" t="inlineStr">
        <is>
          <t>SKU</t>
        </is>
      </c>
      <c r="G11" s="30" t="inlineStr">
        <is>
          <t>Title</t>
        </is>
      </c>
      <c r="H11" s="30" t="inlineStr">
        <is>
          <t>Quantity</t>
        </is>
      </c>
      <c r="I11" s="30" t="inlineStr">
        <is>
          <t>UnitPrice</t>
        </is>
      </c>
      <c r="J11" s="30" t="inlineStr">
        <is>
          <t>DiscountAllocated</t>
        </is>
      </c>
      <c r="K11" s="30" t="inlineStr">
        <is>
          <t>TaxAllocated</t>
        </is>
      </c>
    </row>
    <row r="12">
      <c r="B12" s="31" t="n"/>
      <c r="C12" s="31" t="n"/>
      <c r="D12" s="31" t="n"/>
      <c r="E12" s="31" t="n"/>
      <c r="F12" s="31" t="n"/>
      <c r="G12" s="31" t="n"/>
      <c r="H12" s="31" t="n"/>
      <c r="I12" s="31" t="n"/>
      <c r="J12" s="31" t="n"/>
      <c r="K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RAW_Transactions</t>
        </is>
      </c>
    </row>
    <row r="2" ht="16" customHeight="1">
      <c r="A2" s="2" t="inlineStr">
        <is>
          <t>PASSRESS MIS   |   Home ▸ RAW_Transactions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Transactions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passress-mis/power-query/staging/RAW_Transactions.pq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TransactionID</t>
        </is>
      </c>
      <c r="C11" s="30" t="inlineStr">
        <is>
          <t>OrderID</t>
        </is>
      </c>
      <c r="D11" s="30" t="inlineStr">
        <is>
          <t>Kind</t>
        </is>
      </c>
      <c r="E11" s="30" t="inlineStr">
        <is>
          <t>Status</t>
        </is>
      </c>
      <c r="F11" s="30" t="inlineStr">
        <is>
          <t>Gateway</t>
        </is>
      </c>
      <c r="G11" s="30" t="inlineStr">
        <is>
          <t>AmountShop</t>
        </is>
      </c>
      <c r="H11" s="30" t="inlineStr">
        <is>
          <t>CurrencyShop</t>
        </is>
      </c>
      <c r="I11" s="30" t="inlineStr">
        <is>
          <t>CreatedAt</t>
        </is>
      </c>
      <c r="J11" s="30" t="inlineStr">
        <is>
          <t>ProcessedAt</t>
        </is>
      </c>
      <c r="K11" s="30" t="inlineStr">
        <is>
          <t>Test</t>
        </is>
      </c>
    </row>
    <row r="12">
      <c r="B12" s="31" t="n"/>
      <c r="C12" s="31" t="n"/>
      <c r="D12" s="31" t="n"/>
      <c r="E12" s="31" t="n"/>
      <c r="F12" s="31" t="n"/>
      <c r="G12" s="31" t="n"/>
      <c r="H12" s="31" t="n"/>
      <c r="I12" s="31" t="n"/>
      <c r="J12" s="31" t="n"/>
      <c r="K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RAW_Refunds</t>
        </is>
      </c>
    </row>
    <row r="2" ht="16" customHeight="1">
      <c r="A2" s="2" t="inlineStr">
        <is>
          <t>PASSRESS MIS   |   Home ▸ RAW_Refunds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Refunds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passress-mis/power-query/staging/RAW_Refunds.pq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RefundLineItemID</t>
        </is>
      </c>
      <c r="C11" s="30" t="inlineStr">
        <is>
          <t>RefundID</t>
        </is>
      </c>
      <c r="D11" s="30" t="inlineStr">
        <is>
          <t>OrderID</t>
        </is>
      </c>
      <c r="E11" s="30" t="inlineStr">
        <is>
          <t>LineItemID</t>
        </is>
      </c>
      <c r="F11" s="30" t="inlineStr">
        <is>
          <t>Quantity</t>
        </is>
      </c>
      <c r="G11" s="30" t="inlineStr">
        <is>
          <t>SubtotalAmount</t>
        </is>
      </c>
      <c r="H11" s="30" t="inlineStr">
        <is>
          <t>TaxAmount</t>
        </is>
      </c>
      <c r="I11" s="30" t="inlineStr">
        <is>
          <t>RefundCreatedAt</t>
        </is>
      </c>
      <c r="J11" s="30" t="inlineStr">
        <is>
          <t>RefundProcessedAt</t>
        </is>
      </c>
      <c r="K11" s="30" t="inlineStr">
        <is>
          <t>Note</t>
        </is>
      </c>
    </row>
    <row r="12">
      <c r="B12" s="31" t="n"/>
      <c r="C12" s="31" t="n"/>
      <c r="D12" s="31" t="n"/>
      <c r="E12" s="31" t="n"/>
      <c r="F12" s="31" t="n"/>
      <c r="G12" s="31" t="n"/>
      <c r="H12" s="31" t="n"/>
      <c r="I12" s="31" t="n"/>
      <c r="J12" s="31" t="n"/>
      <c r="K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0070C0"/>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RAW_Products</t>
        </is>
      </c>
    </row>
    <row r="2" ht="16" customHeight="1">
      <c r="A2" s="2" t="inlineStr">
        <is>
          <t>PASSRESS MIS   |   Home ▸ RAW_Products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Products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passress-mis/power-query/staging/RAW_Products.pq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ProductID</t>
        </is>
      </c>
      <c r="C11" s="30" t="inlineStr">
        <is>
          <t>Title</t>
        </is>
      </c>
      <c r="D11" s="30" t="inlineStr">
        <is>
          <t>ProductType</t>
        </is>
      </c>
      <c r="E11" s="30" t="inlineStr">
        <is>
          <t>Vendor</t>
        </is>
      </c>
      <c r="F11" s="30" t="inlineStr">
        <is>
          <t>CollectionIDs</t>
        </is>
      </c>
      <c r="G11" s="30" t="inlineStr">
        <is>
          <t>CreatedAt</t>
        </is>
      </c>
      <c r="H11" s="30" t="inlineStr">
        <is>
          <t>UpdatedAt</t>
        </is>
      </c>
      <c r="I11" s="30" t="inlineStr">
        <is>
          <t>Status</t>
        </is>
      </c>
    </row>
    <row r="12">
      <c r="B12" s="31" t="n"/>
      <c r="C12" s="31" t="n"/>
      <c r="D12" s="31" t="n"/>
      <c r="E12" s="31" t="n"/>
      <c r="F12" s="31" t="n"/>
      <c r="G12" s="31" t="n"/>
      <c r="H12" s="31" t="n"/>
      <c r="I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RAW_Variants</t>
        </is>
      </c>
    </row>
    <row r="2" ht="16" customHeight="1">
      <c r="A2" s="2" t="inlineStr">
        <is>
          <t>PASSRESS MIS   |   Home ▸ RAW_Variants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Variants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passress-mis/power-query/staging/RAW_Variants.pq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VariantID</t>
        </is>
      </c>
      <c r="C11" s="30" t="inlineStr">
        <is>
          <t>ProductID</t>
        </is>
      </c>
      <c r="D11" s="30" t="inlineStr">
        <is>
          <t>SKU</t>
        </is>
      </c>
      <c r="E11" s="30" t="inlineStr">
        <is>
          <t>Title</t>
        </is>
      </c>
      <c r="F11" s="30" t="inlineStr">
        <is>
          <t>Price</t>
        </is>
      </c>
      <c r="G11" s="30" t="inlineStr">
        <is>
          <t>CompareAtPrice</t>
        </is>
      </c>
      <c r="H11" s="30" t="inlineStr">
        <is>
          <t>InventoryItemID</t>
        </is>
      </c>
      <c r="I11" s="30" t="inlineStr">
        <is>
          <t>UnitCost</t>
        </is>
      </c>
      <c r="J11" s="30" t="inlineStr">
        <is>
          <t>CreatedAt</t>
        </is>
      </c>
      <c r="K11" s="30" t="inlineStr">
        <is>
          <t>UpdatedAt</t>
        </is>
      </c>
    </row>
    <row r="12">
      <c r="B12" s="31" t="n"/>
      <c r="C12" s="31" t="n"/>
      <c r="D12" s="31" t="n"/>
      <c r="E12" s="31" t="n"/>
      <c r="F12" s="31" t="n"/>
      <c r="G12" s="31" t="n"/>
      <c r="H12" s="31" t="n"/>
      <c r="I12" s="31" t="n"/>
      <c r="J12" s="31" t="n"/>
      <c r="K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0070C0"/>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RAW_InventoryLevels</t>
        </is>
      </c>
    </row>
    <row r="2" ht="16" customHeight="1">
      <c r="A2" s="2" t="inlineStr">
        <is>
          <t>PASSRESS MIS   |   Home ▸ RAW_InventoryLevels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InventoryLevels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passress-mis/power-query/staging/RAW_InventoryLevels.pq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InventoryItemID</t>
        </is>
      </c>
      <c r="C11" s="30" t="inlineStr">
        <is>
          <t>SKU</t>
        </is>
      </c>
      <c r="D11" s="30" t="inlineStr">
        <is>
          <t>LocationID</t>
        </is>
      </c>
      <c r="E11" s="30" t="inlineStr">
        <is>
          <t>Available</t>
        </is>
      </c>
      <c r="F11" s="30" t="inlineStr">
        <is>
          <t>UpdatedAt</t>
        </is>
      </c>
    </row>
    <row r="12">
      <c r="B12" s="31" t="n"/>
      <c r="C12" s="31" t="n"/>
      <c r="D12" s="31" t="n"/>
      <c r="E12" s="31" t="n"/>
      <c r="F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tabColor rgb="000070C0"/>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RAW_Customers</t>
        </is>
      </c>
    </row>
    <row r="2" ht="16" customHeight="1">
      <c r="A2" s="2" t="inlineStr">
        <is>
          <t>PASSRESS MIS   |   Home ▸ RAW_Customers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Customers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passress-mis/power-query/staging/RAW_Customers.pq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CustomerID</t>
        </is>
      </c>
      <c r="C11" s="30" t="inlineStr">
        <is>
          <t>FirstName</t>
        </is>
      </c>
      <c r="D11" s="30" t="inlineStr">
        <is>
          <t>LastName</t>
        </is>
      </c>
      <c r="E11" s="30" t="inlineStr">
        <is>
          <t>Email</t>
        </is>
      </c>
      <c r="F11" s="30" t="inlineStr">
        <is>
          <t>CreatedAt</t>
        </is>
      </c>
      <c r="G11" s="30" t="inlineStr">
        <is>
          <t>UpdatedAt</t>
        </is>
      </c>
      <c r="H11" s="30" t="inlineStr">
        <is>
          <t>OrdersCount</t>
        </is>
      </c>
      <c r="I11" s="30" t="inlineStr">
        <is>
          <t>TotalSpent</t>
        </is>
      </c>
      <c r="J11" s="30" t="inlineStr">
        <is>
          <t>DefaultAddressCountry</t>
        </is>
      </c>
    </row>
    <row r="12">
      <c r="B12" s="31" t="n"/>
      <c r="C12" s="31" t="n"/>
      <c r="D12" s="31" t="n"/>
      <c r="E12" s="31" t="n"/>
      <c r="F12" s="31" t="n"/>
      <c r="G12" s="31" t="n"/>
      <c r="H12" s="31" t="n"/>
      <c r="I12" s="31" t="n"/>
      <c r="J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tabColor rgb="000070C0"/>
    <outlinePr applyStyles="1" summaryBelow="0" summaryRight="1"/>
    <pageSetUpPr/>
  </sheetPr>
  <dimension ref="A1:D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s>
  <sheetData>
    <row r="1" ht="34" customHeight="1">
      <c r="A1" s="1" t="inlineStr">
        <is>
          <t>RAW_Collections</t>
        </is>
      </c>
    </row>
    <row r="2" ht="16" customHeight="1">
      <c r="A2" s="2" t="inlineStr">
        <is>
          <t>PASSRESS MIS   |   Home ▸ RAW_Collections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Collections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passress-mis/power-query/staging/RAW_Collections.pq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CollectionID</t>
        </is>
      </c>
      <c r="C11" s="30" t="inlineStr">
        <is>
          <t>Title</t>
        </is>
      </c>
      <c r="D11" s="30" t="inlineStr">
        <is>
          <t>Handle</t>
        </is>
      </c>
    </row>
    <row r="12">
      <c r="B12" s="31" t="n"/>
      <c r="C12" s="31" t="n"/>
      <c r="D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tabColor rgb="000070C0"/>
    <outlinePr applyStyles="1" summaryBelow="0" summaryRight="1"/>
    <pageSetUpPr/>
  </sheetPr>
  <dimension ref="A1:M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4" customHeight="1">
      <c r="A1" s="1" t="inlineStr">
        <is>
          <t>RAW_Discounts</t>
        </is>
      </c>
    </row>
    <row r="2" ht="16" customHeight="1">
      <c r="A2" s="2" t="inlineStr">
        <is>
          <t>PASSRESS MIS   |   Home ▸ RAW_Discounts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Discounts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passress-mis/power-query/staging/RAW_Discounts.pq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DiscountNodeID</t>
        </is>
      </c>
      <c r="C11" s="30" t="inlineStr">
        <is>
          <t>Typename</t>
        </is>
      </c>
      <c r="D11" s="30" t="inlineStr">
        <is>
          <t>Title</t>
        </is>
      </c>
      <c r="E11" s="30" t="inlineStr">
        <is>
          <t>Status</t>
        </is>
      </c>
      <c r="F11" s="30" t="inlineStr">
        <is>
          <t>Summary</t>
        </is>
      </c>
      <c r="G11" s="30" t="inlineStr">
        <is>
          <t>Code</t>
        </is>
      </c>
      <c r="H11" s="30" t="inlineStr">
        <is>
          <t>StartsAt</t>
        </is>
      </c>
      <c r="I11" s="30" t="inlineStr">
        <is>
          <t>EndsAt</t>
        </is>
      </c>
      <c r="J11" s="30" t="inlineStr">
        <is>
          <t>UsageLimit</t>
        </is>
      </c>
      <c r="K11" s="30" t="inlineStr">
        <is>
          <t>AsyncUsageCount</t>
        </is>
      </c>
      <c r="L11" s="30" t="inlineStr">
        <is>
          <t>CreatedAt</t>
        </is>
      </c>
      <c r="M11" s="30" t="inlineStr">
        <is>
          <t>UpdatedAt</t>
        </is>
      </c>
    </row>
    <row r="12">
      <c r="B12" s="31" t="n"/>
      <c r="C12" s="31" t="n"/>
      <c r="D12" s="31" t="n"/>
      <c r="E12" s="31" t="n"/>
      <c r="F12" s="31" t="n"/>
      <c r="G12" s="31" t="n"/>
      <c r="H12" s="31" t="n"/>
      <c r="I12" s="31" t="n"/>
      <c r="J12" s="31" t="n"/>
      <c r="K12" s="31" t="n"/>
      <c r="L12" s="31" t="n"/>
      <c r="M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M6"/>
    <mergeCell ref="B7:M7"/>
    <mergeCell ref="A1:M1"/>
    <mergeCell ref="B5:M5"/>
    <mergeCell ref="B8:M8"/>
    <mergeCell ref="A3:M3"/>
    <mergeCell ref="B4:M4"/>
    <mergeCell ref="A2:M2"/>
  </mergeCells>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tabColor rgb="007F7F7F"/>
    <outlinePr applyStyles="1" summaryBelow="0" summaryRight="1"/>
    <pageSetUpPr/>
  </sheetPr>
  <dimension ref="A1:L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34" customHeight="1">
      <c r="A1" s="1" t="inlineStr">
        <is>
          <t>DIM_Date</t>
        </is>
      </c>
    </row>
    <row r="2" ht="16" customHeight="1">
      <c r="A2" s="2" t="inlineStr">
        <is>
          <t>PASSRESS MIS   |   Home ▸ DIM_Date</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'Date' entity that FACT_ tables relate to.</t>
        </is>
      </c>
    </row>
    <row r="5" hidden="1" outlineLevel="1" ht="13" customHeight="1">
      <c r="A5" s="4" t="inlineStr">
        <is>
          <t>Input tables</t>
        </is>
      </c>
      <c r="B5" s="5" t="inlineStr">
        <is>
          <t>Derived from the matching RAW_ staging table(s).</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t>
        </is>
      </c>
    </row>
    <row r="8" hidden="1" outlineLevel="1" ht="13" customHeight="1">
      <c r="A8" s="4" t="inlineStr">
        <is>
          <t>Future data source</t>
        </is>
      </c>
      <c r="B8" s="5" t="inlineStr">
        <is>
          <t>Built from RAW_ staging data in Power Query — Phase 2/3.</t>
        </is>
      </c>
    </row>
    <row r="9" hidden="1" outlineLevel="1"/>
    <row r="10" ht="6" customHeight="1"/>
    <row r="11" ht="18" customHeight="1">
      <c r="B11" s="24" t="inlineStr">
        <is>
          <t>DateKey</t>
        </is>
      </c>
      <c r="C11" s="24" t="inlineStr">
        <is>
          <t>Date</t>
        </is>
      </c>
      <c r="D11" s="24" t="inlineStr">
        <is>
          <t>Year</t>
        </is>
      </c>
      <c r="E11" s="24" t="inlineStr">
        <is>
          <t>FiscalYear</t>
        </is>
      </c>
      <c r="F11" s="24" t="inlineStr">
        <is>
          <t>Quarter</t>
        </is>
      </c>
      <c r="G11" s="24" t="inlineStr">
        <is>
          <t>Month</t>
        </is>
      </c>
      <c r="H11" s="24" t="inlineStr">
        <is>
          <t>MonthName</t>
        </is>
      </c>
      <c r="I11" s="24" t="inlineStr">
        <is>
          <t>Week</t>
        </is>
      </c>
      <c r="J11" s="24" t="inlineStr">
        <is>
          <t>Day</t>
        </is>
      </c>
      <c r="K11" s="24" t="inlineStr">
        <is>
          <t>DayName</t>
        </is>
      </c>
      <c r="L11" s="24" t="inlineStr">
        <is>
          <t>IsWeekend</t>
        </is>
      </c>
    </row>
    <row r="12">
      <c r="B12" s="18" t="n"/>
      <c r="C12" s="18" t="n"/>
      <c r="D12" s="18" t="n"/>
      <c r="E12" s="18" t="n"/>
      <c r="F12" s="18" t="n"/>
      <c r="G12" s="18" t="n"/>
      <c r="H12" s="18" t="n"/>
      <c r="I12" s="18" t="n"/>
      <c r="J12" s="18" t="n"/>
      <c r="K12" s="18" t="n"/>
      <c r="L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L4"/>
    <mergeCell ref="A2:L2"/>
    <mergeCell ref="B6:L6"/>
    <mergeCell ref="B7:L7"/>
    <mergeCell ref="A1:L1"/>
    <mergeCell ref="B5:L5"/>
    <mergeCell ref="A3:L3"/>
    <mergeCell ref="B8:L8"/>
  </mergeCells>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t>
        </is>
      </c>
    </row>
    <row r="2" ht="16" customHeight="1">
      <c r="A2" s="2" t="inlineStr">
        <is>
          <t>PASSRESS MIS   |   Home ▸ DIM_Product</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'Product' entity that FACT_ tables relate to.</t>
        </is>
      </c>
    </row>
    <row r="5" hidden="1" outlineLevel="1" ht="13" customHeight="1">
      <c r="A5" s="4" t="inlineStr">
        <is>
          <t>Input tables</t>
        </is>
      </c>
      <c r="B5" s="5" t="inlineStr">
        <is>
          <t>Derived from the matching RAW_ staging table(s).</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t>
        </is>
      </c>
    </row>
    <row r="8" hidden="1" outlineLevel="1" ht="13" customHeight="1">
      <c r="A8" s="4" t="inlineStr">
        <is>
          <t>Future data source</t>
        </is>
      </c>
      <c r="B8" s="5" t="inlineStr">
        <is>
          <t>Built from RAW_ staging data in Power Query — Phase 2/3.</t>
        </is>
      </c>
    </row>
    <row r="9" hidden="1" outlineLevel="1"/>
    <row r="10" ht="6" customHeight="1"/>
    <row r="11" ht="18" customHeight="1">
      <c r="B11" s="24" t="inlineStr">
        <is>
          <t>ProductKey</t>
        </is>
      </c>
      <c r="C11" s="24" t="inlineStr">
        <is>
          <t>ProductID</t>
        </is>
      </c>
      <c r="D11" s="24" t="inlineStr">
        <is>
          <t>SKU</t>
        </is>
      </c>
      <c r="E11" s="24" t="inlineStr">
        <is>
          <t>Title</t>
        </is>
      </c>
      <c r="F11" s="24" t="inlineStr">
        <is>
          <t>ProductType</t>
        </is>
      </c>
      <c r="G11" s="24" t="inlineStr">
        <is>
          <t>Vendor</t>
        </is>
      </c>
      <c r="H11" s="24" t="inlineStr">
        <is>
          <t>Collection</t>
        </is>
      </c>
      <c r="I11" s="24" t="inlineStr">
        <is>
          <t>UnitCost</t>
        </is>
      </c>
      <c r="J11" s="24" t="inlineStr">
        <is>
          <t>Status</t>
        </is>
      </c>
    </row>
    <row r="12">
      <c r="B12" s="18" t="n"/>
      <c r="C12" s="18" t="n"/>
      <c r="D12" s="18" t="n"/>
      <c r="E12" s="18" t="n"/>
      <c r="F12" s="18" t="n"/>
      <c r="G12" s="18" t="n"/>
      <c r="H12" s="18" t="n"/>
      <c r="I12" s="18" t="n"/>
      <c r="J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tabColor rgb="007F7F7F"/>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DIM_Customer</t>
        </is>
      </c>
    </row>
    <row r="2" ht="16" customHeight="1">
      <c r="A2" s="2" t="inlineStr">
        <is>
          <t>PASSRESS MIS   |   Home ▸ DIM_Customer</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'Customer' entity that FACT_ tables relate to.</t>
        </is>
      </c>
    </row>
    <row r="5" hidden="1" outlineLevel="1" ht="13" customHeight="1">
      <c r="A5" s="4" t="inlineStr">
        <is>
          <t>Input tables</t>
        </is>
      </c>
      <c r="B5" s="5" t="inlineStr">
        <is>
          <t>Derived from the matching RAW_ staging table(s).</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t>
        </is>
      </c>
    </row>
    <row r="8" hidden="1" outlineLevel="1" ht="13" customHeight="1">
      <c r="A8" s="4" t="inlineStr">
        <is>
          <t>Future data source</t>
        </is>
      </c>
      <c r="B8" s="5" t="inlineStr">
        <is>
          <t>Built from RAW_ staging data in Power Query — Phase 2/3.</t>
        </is>
      </c>
    </row>
    <row r="9" hidden="1" outlineLevel="1"/>
    <row r="10" ht="6" customHeight="1"/>
    <row r="11" ht="18" customHeight="1">
      <c r="B11" s="24" t="inlineStr">
        <is>
          <t>CustomerKey</t>
        </is>
      </c>
      <c r="C11" s="24" t="inlineStr">
        <is>
          <t>CustomerID</t>
        </is>
      </c>
      <c r="D11" s="24" t="inlineStr">
        <is>
          <t>Name</t>
        </is>
      </c>
      <c r="E11" s="24" t="inlineStr">
        <is>
          <t>Email</t>
        </is>
      </c>
      <c r="F11" s="24" t="inlineStr">
        <is>
          <t>Country</t>
        </is>
      </c>
      <c r="G11" s="24" t="inlineStr">
        <is>
          <t>FirstOrderDate</t>
        </is>
      </c>
      <c r="H11" s="24" t="inlineStr">
        <is>
          <t>CustomerSegment</t>
        </is>
      </c>
    </row>
    <row r="12">
      <c r="B12" s="18" t="n"/>
      <c r="C12" s="18" t="n"/>
      <c r="D12" s="18" t="n"/>
      <c r="E12" s="18" t="n"/>
      <c r="F12" s="18" t="n"/>
      <c r="G12" s="18" t="n"/>
      <c r="H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tabColor rgb="007F7F7F"/>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DIM_Location</t>
        </is>
      </c>
    </row>
    <row r="2" ht="16" customHeight="1">
      <c r="A2" s="2" t="inlineStr">
        <is>
          <t>PASSRESS MIS   |   Home ▸ DIM_Location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'Location' entity that FACT_ tables relate to.</t>
        </is>
      </c>
    </row>
    <row r="5" hidden="1" outlineLevel="1" ht="13" customHeight="1">
      <c r="A5" s="4" t="inlineStr">
        <is>
          <t>Input tables</t>
        </is>
      </c>
      <c r="B5" s="5" t="inlineStr">
        <is>
          <t>Derived from the matching RAW_ staging table(s).</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t>
        </is>
      </c>
    </row>
    <row r="8" hidden="1" outlineLevel="1" ht="13" customHeight="1">
      <c r="A8" s="4" t="inlineStr">
        <is>
          <t>Future data source</t>
        </is>
      </c>
      <c r="B8" s="5" t="inlineStr">
        <is>
          <t>Built from RAW_ staging data in Power Query — Phase 2/3.</t>
        </is>
      </c>
    </row>
    <row r="9" hidden="1" outlineLevel="1"/>
    <row r="10" ht="6" customHeight="1"/>
    <row r="11" ht="18" customHeight="1">
      <c r="B11" s="24" t="inlineStr">
        <is>
          <t>LocationKey</t>
        </is>
      </c>
      <c r="C11" s="24" t="inlineStr">
        <is>
          <t>LocationID</t>
        </is>
      </c>
      <c r="D11" s="24" t="inlineStr">
        <is>
          <t>LocationName</t>
        </is>
      </c>
      <c r="E11" s="24" t="inlineStr">
        <is>
          <t>City</t>
        </is>
      </c>
      <c r="F11" s="24" t="inlineStr">
        <is>
          <t>Country</t>
        </is>
      </c>
    </row>
    <row r="12">
      <c r="B12" s="18" t="n"/>
      <c r="C12" s="18" t="n"/>
      <c r="D12" s="18" t="n"/>
      <c r="E12" s="18" t="n"/>
      <c r="F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tabColor rgb="007F7F7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DIM_Collection</t>
        </is>
      </c>
    </row>
    <row r="2" ht="16" customHeight="1">
      <c r="A2" s="2" t="inlineStr">
        <is>
          <t>PASSRESS MIS   |   Home ▸ DIM_Collection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'Collection' entity that FACT_ tables relate to.</t>
        </is>
      </c>
    </row>
    <row r="5" hidden="1" outlineLevel="1" ht="13" customHeight="1">
      <c r="A5" s="4" t="inlineStr">
        <is>
          <t>Input tables</t>
        </is>
      </c>
      <c r="B5" s="5" t="inlineStr">
        <is>
          <t>Derived from the matching RAW_ staging table(s).</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t>
        </is>
      </c>
    </row>
    <row r="8" hidden="1" outlineLevel="1" ht="13" customHeight="1">
      <c r="A8" s="4" t="inlineStr">
        <is>
          <t>Future data source</t>
        </is>
      </c>
      <c r="B8" s="5" t="inlineStr">
        <is>
          <t>Built from RAW_ staging data in Power Query — Phase 2/3.</t>
        </is>
      </c>
    </row>
    <row r="9" hidden="1" outlineLevel="1"/>
    <row r="10" ht="6" customHeight="1"/>
    <row r="11" ht="18" customHeight="1">
      <c r="B11" s="24" t="inlineStr">
        <is>
          <t>CollectionKey</t>
        </is>
      </c>
      <c r="C11" s="24" t="inlineStr">
        <is>
          <t>CollectionID</t>
        </is>
      </c>
      <c r="D11" s="24" t="inlineStr">
        <is>
          <t>Title</t>
        </is>
      </c>
      <c r="E11" s="24" t="inlineStr">
        <is>
          <t>Handle</t>
        </is>
      </c>
    </row>
    <row r="12">
      <c r="B12" s="18" t="n"/>
      <c r="C12" s="18" t="n"/>
      <c r="D12" s="18" t="n"/>
      <c r="E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tabColor rgb="007F7F7F"/>
    <outlinePr applyStyles="1" summaryBelow="0" summaryRight="1"/>
    <pageSetUpPr/>
  </sheetPr>
  <dimension ref="A1:C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s>
  <sheetData>
    <row r="1" ht="34" customHeight="1">
      <c r="A1" s="1" t="inlineStr">
        <is>
          <t>DIM_Parameters</t>
        </is>
      </c>
    </row>
    <row r="2" ht="16" customHeight="1">
      <c r="A2" s="2" t="inlineStr">
        <is>
          <t>PASSRESS MIS   |   Home ▸ DIM_Parameters</t>
        </is>
      </c>
    </row>
    <row r="3" ht="14" customHeight="1">
      <c r="A3" s="3" t="inlineStr">
        <is>
          <t>Sheet Documentation  (use the  +  outline control at left to expand)</t>
        </is>
      </c>
    </row>
    <row r="4" hidden="1" outlineLevel="1" ht="13" customHeight="1">
      <c r="A4" s="4" t="inlineStr">
        <is>
          <t>Purpose</t>
        </is>
      </c>
      <c r="B4" s="5" t="inlineStr">
        <is>
          <t>Disconnected mirror of 15_Settings, used so DAX measures can reference configurable constants without creating a relationship into the star schema.</t>
        </is>
      </c>
    </row>
    <row r="5" hidden="1" outlineLevel="1" ht="13" customHeight="1">
      <c r="A5" s="4" t="inlineStr">
        <is>
          <t>Input tables</t>
        </is>
      </c>
      <c r="B5" s="5" t="inlineStr">
        <is>
          <t>15_Settings (linked manually / via Power Query, Phase 2).</t>
        </is>
      </c>
    </row>
    <row r="6" hidden="1" outlineLevel="1" ht="13" customHeight="1">
      <c r="A6" s="4" t="inlineStr">
        <is>
          <t>Output tables</t>
        </is>
      </c>
      <c r="B6" s="5" t="inlineStr">
        <is>
          <t>Referenced by DAX measures across all dashboards.</t>
        </is>
      </c>
    </row>
    <row r="7" hidden="1" outlineLevel="1" ht="13" customHeight="1">
      <c r="A7" s="4" t="inlineStr">
        <is>
          <t>Relationships</t>
        </is>
      </c>
      <c r="B7" s="5" t="inlineStr">
        <is>
          <t>N/A — disconnected table by design.</t>
        </is>
      </c>
    </row>
    <row r="8" hidden="1" outlineLevel="1" ht="13" customHeight="1">
      <c r="A8" s="4" t="inlineStr">
        <is>
          <t>Future data source</t>
        </is>
      </c>
      <c r="B8" s="5" t="inlineStr">
        <is>
          <t>Manual link to 15_Settings — Phase 3.</t>
        </is>
      </c>
    </row>
    <row r="9" hidden="1" outlineLevel="1"/>
    <row r="10" ht="6" customHeight="1"/>
    <row r="11" ht="18" customHeight="1">
      <c r="B11" s="24" t="inlineStr">
        <is>
          <t>ParameterName</t>
        </is>
      </c>
      <c r="C11" s="24" t="inlineStr">
        <is>
          <t>ParameterValue</t>
        </is>
      </c>
    </row>
    <row r="12">
      <c r="B12" s="18" t="n"/>
      <c r="C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C6"/>
    <mergeCell ref="B7:C7"/>
    <mergeCell ref="A1:C1"/>
    <mergeCell ref="B5:C5"/>
    <mergeCell ref="A3:C3"/>
    <mergeCell ref="B8:C8"/>
    <mergeCell ref="B4:C4"/>
    <mergeCell ref="A2:C2"/>
  </mergeCells>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tabColor rgb="007F7F7F"/>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DIM_Supplier</t>
        </is>
      </c>
    </row>
    <row r="2" ht="16" customHeight="1">
      <c r="A2" s="2" t="inlineStr">
        <is>
          <t>PASSRESS MIS   |   Home ▸ DIM_Supplier</t>
        </is>
      </c>
    </row>
    <row r="3" ht="14" customHeight="1">
      <c r="A3" s="3" t="inlineStr">
        <is>
          <t>Sheet Documentation  (use the  +  outline control at left to expand)</t>
        </is>
      </c>
    </row>
    <row r="4" hidden="1" outlineLevel="1" ht="13" customHeight="1">
      <c r="A4" s="4" t="inlineStr">
        <is>
          <t>Purpose</t>
        </is>
      </c>
      <c r="B4" s="5" t="inlineStr">
        <is>
          <t>Data Model-ready mirror of 12_Suppliers (Supplier Master table).</t>
        </is>
      </c>
    </row>
    <row r="5" hidden="1" outlineLevel="1" ht="13" customHeight="1">
      <c r="A5" s="4" t="inlineStr">
        <is>
          <t>Input tables</t>
        </is>
      </c>
      <c r="B5" s="5" t="inlineStr">
        <is>
          <t>12_Suppliers's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SupplierID relates to FACT_PurchaseOrderHeader (one-to-many).</t>
        </is>
      </c>
    </row>
    <row r="8" hidden="1" outlineLevel="1" ht="13" customHeight="1">
      <c r="A8" s="4" t="inlineStr">
        <is>
          <t>Future data source</t>
        </is>
      </c>
      <c r="B8" s="5" t="inlineStr">
        <is>
          <t>Load 12_Suppliers's table into this mirror — Phase 4 (Data Model wiring).</t>
        </is>
      </c>
    </row>
    <row r="9" hidden="1" outlineLevel="1"/>
    <row r="10" ht="6" customHeight="1"/>
    <row r="11" ht="18" customHeight="1">
      <c r="B11" s="24" t="inlineStr">
        <is>
          <t>SupplierKey</t>
        </is>
      </c>
      <c r="C11" s="24" t="inlineStr">
        <is>
          <t>SupplierID</t>
        </is>
      </c>
      <c r="D11" s="24" t="inlineStr">
        <is>
          <t>SupplierName</t>
        </is>
      </c>
      <c r="E11" s="24" t="inlineStr">
        <is>
          <t>SupplierType</t>
        </is>
      </c>
      <c r="F11" s="24" t="inlineStr">
        <is>
          <t>Currency</t>
        </is>
      </c>
      <c r="G11" s="24" t="inlineStr">
        <is>
          <t>Status</t>
        </is>
      </c>
    </row>
    <row r="12">
      <c r="B12" s="18" t="n"/>
      <c r="C12" s="18" t="n"/>
      <c r="D12" s="18" t="n"/>
      <c r="E12" s="18" t="n"/>
      <c r="F12" s="18" t="n"/>
      <c r="G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DIM_ProductCostHistory</t>
        </is>
      </c>
    </row>
    <row r="2" ht="16" customHeight="1">
      <c r="A2" s="2" t="inlineStr">
        <is>
          <t>PASSRESS MIS   |   Home ▸ DIM_ProductCostHistory</t>
        </is>
      </c>
    </row>
    <row r="3" ht="14" customHeight="1">
      <c r="A3" s="3" t="inlineStr">
        <is>
          <t>Sheet Documentation  (use the  +  outline control at left to expand)</t>
        </is>
      </c>
    </row>
    <row r="4" hidden="1" outlineLevel="1" ht="13" customHeight="1">
      <c r="A4" s="4" t="inlineStr">
        <is>
          <t>Purpose</t>
        </is>
      </c>
      <c r="B4" s="5" t="inlineStr">
        <is>
          <t>Data Model-ready mirror of 05_Products (Product Cost Master table), time-variant (Effective From/To + Active Flag preserved) so Phase 4 can join each order line to the cost that was active on the order's date.</t>
        </is>
      </c>
    </row>
    <row r="5" hidden="1" outlineLevel="1" ht="13" customHeight="1">
      <c r="A5" s="4" t="inlineStr">
        <is>
          <t>Input tables</t>
        </is>
      </c>
      <c r="B5" s="5" t="inlineStr">
        <is>
          <t>05_Products's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SKU relates to FACT_OrderLines; EffectiveFromDate/EffectiveToDate bound which cost row applies to a given order date (Phase 4 DAX).</t>
        </is>
      </c>
    </row>
    <row r="8" hidden="1" outlineLevel="1" ht="13" customHeight="1">
      <c r="A8" s="4" t="inlineStr">
        <is>
          <t>Future data source</t>
        </is>
      </c>
      <c r="B8" s="5" t="inlineStr">
        <is>
          <t>Load 05_Products's table into this mirror — Phase 4 (Data Model wiring).</t>
        </is>
      </c>
    </row>
    <row r="9" hidden="1" outlineLevel="1"/>
    <row r="10" ht="6" customHeight="1"/>
    <row r="11" ht="18" customHeight="1">
      <c r="B11" s="24" t="inlineStr">
        <is>
          <t>CostKey</t>
        </is>
      </c>
      <c r="C11" s="24" t="inlineStr">
        <is>
          <t>SKU</t>
        </is>
      </c>
      <c r="D11" s="24" t="inlineStr">
        <is>
          <t>Collection</t>
        </is>
      </c>
      <c r="E11" s="24" t="inlineStr">
        <is>
          <t>TotalLandedCost</t>
        </is>
      </c>
      <c r="F11" s="24" t="inlineStr">
        <is>
          <t>SellingPrice</t>
        </is>
      </c>
      <c r="G11" s="24" t="inlineStr">
        <is>
          <t>ExpectedGrossMarginPct</t>
        </is>
      </c>
      <c r="H11" s="24" t="inlineStr">
        <is>
          <t>EffectiveFromDate</t>
        </is>
      </c>
      <c r="I11" s="24" t="inlineStr">
        <is>
          <t>EffectiveToDate</t>
        </is>
      </c>
      <c r="J11" s="24" t="inlineStr">
        <is>
          <t>ActiveFlag</t>
        </is>
      </c>
    </row>
    <row r="12">
      <c r="B12" s="18" t="n"/>
      <c r="C12" s="18" t="n"/>
      <c r="D12" s="18" t="n"/>
      <c r="E12" s="18" t="n"/>
      <c r="F12" s="18" t="n"/>
      <c r="G12" s="18" t="n"/>
      <c r="H12" s="18" t="n"/>
      <c r="I12" s="18" t="n"/>
      <c r="J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tabColor rgb="00595959"/>
    <outlinePr applyStyles="1" summaryBelow="0" summaryRight="1"/>
    <pageSetUpPr/>
  </sheetPr>
  <dimension ref="A1:O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ht="34" customHeight="1">
      <c r="A1" s="1" t="inlineStr">
        <is>
          <t>FACT_OrderLines</t>
        </is>
      </c>
    </row>
    <row r="2" ht="16" customHeight="1">
      <c r="A2" s="2" t="inlineStr">
        <is>
          <t>PASSRESS MIS   |   Home ▸ FACT_OrderLines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across all dashboards.</t>
        </is>
      </c>
    </row>
    <row r="7" hidden="1" outlineLevel="1" ht="13" customHeight="1">
      <c r="A7" s="4" t="inlineStr">
        <is>
          <t>Relationships</t>
        </is>
      </c>
      <c r="B7" s="5" t="inlineStr">
        <is>
          <t>Many-to-one into each related DIM_ table.</t>
        </is>
      </c>
    </row>
    <row r="8" hidden="1" outlineLevel="1" ht="13" customHeight="1">
      <c r="A8" s="4" t="inlineStr">
        <is>
          <t>Future data source</t>
        </is>
      </c>
      <c r="B8" s="5" t="inlineStr">
        <is>
          <t>Built in Power Query from RAW_ + DIM_ — Phase 2/3.</t>
        </is>
      </c>
    </row>
    <row r="9" hidden="1" outlineLevel="1"/>
    <row r="10" ht="6" customHeight="1"/>
    <row r="11" ht="18" customHeight="1">
      <c r="B11" s="24" t="inlineStr">
        <is>
          <t>OrderLineKey</t>
        </is>
      </c>
      <c r="C11" s="24" t="inlineStr">
        <is>
          <t>OrderID</t>
        </is>
      </c>
      <c r="D11" s="24" t="inlineStr">
        <is>
          <t>DateKey</t>
        </is>
      </c>
      <c r="E11" s="24" t="inlineStr">
        <is>
          <t>ProductKey</t>
        </is>
      </c>
      <c r="F11" s="24" t="inlineStr">
        <is>
          <t>CustomerKey</t>
        </is>
      </c>
      <c r="G11" s="24" t="inlineStr">
        <is>
          <t>LocationKey</t>
        </is>
      </c>
      <c r="H11" s="24" t="inlineStr">
        <is>
          <t>Quantity</t>
        </is>
      </c>
      <c r="I11" s="24" t="inlineStr">
        <is>
          <t>UnitPrice</t>
        </is>
      </c>
      <c r="J11" s="24" t="inlineStr">
        <is>
          <t>GrossAmount</t>
        </is>
      </c>
      <c r="K11" s="24" t="inlineStr">
        <is>
          <t>DiscountAmount</t>
        </is>
      </c>
      <c r="L11" s="24" t="inlineStr">
        <is>
          <t>TaxAmount</t>
        </is>
      </c>
      <c r="M11" s="24" t="inlineStr">
        <is>
          <t>NetAmount</t>
        </is>
      </c>
      <c r="N11" s="24" t="inlineStr">
        <is>
          <t>UnitCost</t>
        </is>
      </c>
      <c r="O11" s="24" t="inlineStr">
        <is>
          <t>COGS</t>
        </is>
      </c>
    </row>
    <row r="12">
      <c r="B12" s="18" t="n"/>
      <c r="C12" s="18" t="n"/>
      <c r="D12" s="18" t="n"/>
      <c r="E12" s="18" t="n"/>
      <c r="F12" s="18" t="n"/>
      <c r="G12" s="18" t="n"/>
      <c r="H12" s="18" t="n"/>
      <c r="I12" s="18" t="n"/>
      <c r="J12" s="18" t="n"/>
      <c r="K12" s="18" t="n"/>
      <c r="L12" s="18" t="n"/>
      <c r="M12" s="18" t="n"/>
      <c r="N12" s="18" t="n"/>
      <c r="O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O8"/>
    <mergeCell ref="B4:O4"/>
    <mergeCell ref="A2:O2"/>
    <mergeCell ref="B6:O6"/>
    <mergeCell ref="B7:O7"/>
    <mergeCell ref="A1:O1"/>
    <mergeCell ref="B5:O5"/>
    <mergeCell ref="A3:O3"/>
  </mergeCells>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FACT_Refunds</t>
        </is>
      </c>
    </row>
    <row r="2" ht="16" customHeight="1">
      <c r="A2" s="2" t="inlineStr">
        <is>
          <t>PASSRESS MIS   |   Home ▸ FACT_Refunds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across all dashboards.</t>
        </is>
      </c>
    </row>
    <row r="7" hidden="1" outlineLevel="1" ht="13" customHeight="1">
      <c r="A7" s="4" t="inlineStr">
        <is>
          <t>Relationships</t>
        </is>
      </c>
      <c r="B7" s="5" t="inlineStr">
        <is>
          <t>Many-to-one into each related DIM_ table.</t>
        </is>
      </c>
    </row>
    <row r="8" hidden="1" outlineLevel="1" ht="13" customHeight="1">
      <c r="A8" s="4" t="inlineStr">
        <is>
          <t>Future data source</t>
        </is>
      </c>
      <c r="B8" s="5" t="inlineStr">
        <is>
          <t>Built in Power Query from RAW_ + DIM_ — Phase 2/3.</t>
        </is>
      </c>
    </row>
    <row r="9" hidden="1" outlineLevel="1"/>
    <row r="10" ht="6" customHeight="1"/>
    <row r="11" ht="18" customHeight="1">
      <c r="B11" s="24" t="inlineStr">
        <is>
          <t>RefundKey</t>
        </is>
      </c>
      <c r="C11" s="24" t="inlineStr">
        <is>
          <t>OrderLineKey</t>
        </is>
      </c>
      <c r="D11" s="24" t="inlineStr">
        <is>
          <t>DateKey</t>
        </is>
      </c>
      <c r="E11" s="24" t="inlineStr">
        <is>
          <t>Quantity</t>
        </is>
      </c>
      <c r="F11" s="24" t="inlineStr">
        <is>
          <t>RefundAmount</t>
        </is>
      </c>
    </row>
    <row r="12">
      <c r="B12" s="18" t="n"/>
      <c r="C12" s="18" t="n"/>
      <c r="D12" s="18" t="n"/>
      <c r="E12" s="18" t="n"/>
      <c r="F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FACT_InventoryMovements</t>
        </is>
      </c>
    </row>
    <row r="2" ht="16" customHeight="1">
      <c r="A2" s="2" t="inlineStr">
        <is>
          <t>PASSRESS MIS   |   Home ▸ FACT_InventoryMovements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across all dashboards.</t>
        </is>
      </c>
    </row>
    <row r="7" hidden="1" outlineLevel="1" ht="13" customHeight="1">
      <c r="A7" s="4" t="inlineStr">
        <is>
          <t>Relationships</t>
        </is>
      </c>
      <c r="B7" s="5" t="inlineStr">
        <is>
          <t>Many-to-one into each related DIM_ table.</t>
        </is>
      </c>
    </row>
    <row r="8" hidden="1" outlineLevel="1" ht="13" customHeight="1">
      <c r="A8" s="4" t="inlineStr">
        <is>
          <t>Future data source</t>
        </is>
      </c>
      <c r="B8" s="5" t="inlineStr">
        <is>
          <t>Built in Power Query from RAW_ + DIM_ — Phase 2/3.</t>
        </is>
      </c>
    </row>
    <row r="9" hidden="1" outlineLevel="1"/>
    <row r="10" ht="6" customHeight="1"/>
    <row r="11" ht="18" customHeight="1">
      <c r="B11" s="24" t="inlineStr">
        <is>
          <t>MovementKey</t>
        </is>
      </c>
      <c r="C11" s="24" t="inlineStr">
        <is>
          <t>DateKey</t>
        </is>
      </c>
      <c r="D11" s="24" t="inlineStr">
        <is>
          <t>ProductKey</t>
        </is>
      </c>
      <c r="E11" s="24" t="inlineStr">
        <is>
          <t>LocationKey</t>
        </is>
      </c>
      <c r="F11" s="24" t="inlineStr">
        <is>
          <t>MovementType</t>
        </is>
      </c>
      <c r="G11" s="24" t="inlineStr">
        <is>
          <t>QuantityChange</t>
        </is>
      </c>
      <c r="H11" s="24" t="inlineStr">
        <is>
          <t>ResultingOnHand</t>
        </is>
      </c>
    </row>
    <row r="12">
      <c r="B12" s="18" t="n"/>
      <c r="C12" s="18" t="n"/>
      <c r="D12" s="18" t="n"/>
      <c r="E12" s="18" t="n"/>
      <c r="F12" s="18" t="n"/>
      <c r="G12" s="18" t="n"/>
      <c r="H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FACT_Payments</t>
        </is>
      </c>
    </row>
    <row r="2" ht="16" customHeight="1">
      <c r="A2" s="2" t="inlineStr">
        <is>
          <t>PASSRESS MIS   |   Home ▸ FACT_Payments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across all dashboards.</t>
        </is>
      </c>
    </row>
    <row r="7" hidden="1" outlineLevel="1" ht="13" customHeight="1">
      <c r="A7" s="4" t="inlineStr">
        <is>
          <t>Relationships</t>
        </is>
      </c>
      <c r="B7" s="5" t="inlineStr">
        <is>
          <t>Many-to-one into each related DIM_ table.</t>
        </is>
      </c>
    </row>
    <row r="8" hidden="1" outlineLevel="1" ht="13" customHeight="1">
      <c r="A8" s="4" t="inlineStr">
        <is>
          <t>Future data source</t>
        </is>
      </c>
      <c r="B8" s="5" t="inlineStr">
        <is>
          <t>Built in Power Query from RAW_ + DIM_ — Phase 2/3.</t>
        </is>
      </c>
    </row>
    <row r="9" hidden="1" outlineLevel="1"/>
    <row r="10" ht="6" customHeight="1"/>
    <row r="11" ht="18" customHeight="1">
      <c r="B11" s="24" t="inlineStr">
        <is>
          <t>PaymentKey</t>
        </is>
      </c>
      <c r="C11" s="24" t="inlineStr">
        <is>
          <t>OrderID</t>
        </is>
      </c>
      <c r="D11" s="24" t="inlineStr">
        <is>
          <t>DateKey</t>
        </is>
      </c>
      <c r="E11" s="24" t="inlineStr">
        <is>
          <t>PaymentMethod</t>
        </is>
      </c>
      <c r="F11" s="24" t="inlineStr">
        <is>
          <t>Currency</t>
        </is>
      </c>
      <c r="G11" s="24" t="inlineStr">
        <is>
          <t>Amount</t>
        </is>
      </c>
      <c r="H11" s="24" t="inlineStr">
        <is>
          <t>PresentmentAmount</t>
        </is>
      </c>
    </row>
    <row r="12">
      <c r="B12" s="18" t="n"/>
      <c r="C12" s="18" t="n"/>
      <c r="D12" s="18" t="n"/>
      <c r="E12" s="18" t="n"/>
      <c r="F12" s="18" t="n"/>
      <c r="G12" s="18" t="n"/>
      <c r="H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tabColor rgb="00595959"/>
    <outlinePr applyStyles="1" summaryBelow="0" summaryRight="1"/>
    <pageSetUpPr/>
  </sheetPr>
  <dimension ref="A1:M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4" customHeight="1">
      <c r="A1" s="1" t="inlineStr">
        <is>
          <t>FACT_ManualExpenses</t>
        </is>
      </c>
    </row>
    <row r="2" ht="16" customHeight="1">
      <c r="A2" s="2" t="inlineStr">
        <is>
          <t>PASSRESS MIS   |   Home ▸ FACT_ManualExpenses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10_Expenses — this is the Data Model-ready version of it.</t>
        </is>
      </c>
    </row>
    <row r="5" hidden="1" outlineLevel="1" ht="13" customHeight="1">
      <c r="A5" s="4" t="inlineStr">
        <is>
          <t>Input tables</t>
        </is>
      </c>
      <c r="B5" s="5" t="inlineStr">
        <is>
          <t>10_Expenses manual entry table(s).</t>
        </is>
      </c>
    </row>
    <row r="6" hidden="1" outlineLevel="1" ht="13" customHeight="1">
      <c r="A6" s="4" t="inlineStr">
        <is>
          <t>Output tables</t>
        </is>
      </c>
      <c r="B6" s="5" t="inlineStr">
        <is>
          <t>Referenced by DAX measures across 08_Finance, 09_Profitability, 02/03 dashboards.</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10_Expenses (already the source of truth — no external system). Loaded into this mirror in Phase 4 (Data Model wiring).</t>
        </is>
      </c>
    </row>
    <row r="9" hidden="1" outlineLevel="1"/>
    <row r="10" ht="6" customHeight="1"/>
    <row r="11" ht="18" customHeight="1">
      <c r="B11" s="17" t="inlineStr">
        <is>
          <t>ExpenseKey</t>
        </is>
      </c>
      <c r="C11" s="17" t="inlineStr">
        <is>
          <t>ExpenseDate</t>
        </is>
      </c>
      <c r="D11" s="17" t="inlineStr">
        <is>
          <t>ExpenseCategory</t>
        </is>
      </c>
      <c r="E11" s="17" t="inlineStr">
        <is>
          <t>ExpenseSubcategory</t>
        </is>
      </c>
      <c r="F11" s="17" t="inlineStr">
        <is>
          <t>SupplierID</t>
        </is>
      </c>
      <c r="G11" s="17" t="inlineStr">
        <is>
          <t>Amount</t>
        </is>
      </c>
      <c r="H11" s="17" t="inlineStr">
        <is>
          <t>Currency</t>
        </is>
      </c>
      <c r="I11" s="17" t="inlineStr">
        <is>
          <t>PaymentMethod</t>
        </is>
      </c>
      <c r="J11" s="17" t="inlineStr">
        <is>
          <t>RelatedCollection</t>
        </is>
      </c>
      <c r="K11" s="17" t="inlineStr">
        <is>
          <t>RelatedSKU</t>
        </is>
      </c>
      <c r="L11" s="17" t="inlineStr">
        <is>
          <t>CostCenter</t>
        </is>
      </c>
      <c r="M11" s="17" t="inlineStr">
        <is>
          <t>InvoiceNumber</t>
        </is>
      </c>
    </row>
    <row r="12">
      <c r="B12" s="32" t="n"/>
      <c r="C12" s="32" t="n"/>
      <c r="D12" s="32" t="n"/>
      <c r="E12" s="32" t="n"/>
      <c r="F12" s="32" t="n"/>
      <c r="G12" s="32" t="n"/>
      <c r="H12" s="32" t="n"/>
      <c r="I12" s="32" t="n"/>
      <c r="J12" s="32" t="n"/>
      <c r="K12" s="32" t="n"/>
      <c r="L12" s="32" t="n"/>
      <c r="M12" s="3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M6"/>
    <mergeCell ref="B7:M7"/>
    <mergeCell ref="A1:M1"/>
    <mergeCell ref="B5:M5"/>
    <mergeCell ref="B8:M8"/>
    <mergeCell ref="A3:M3"/>
    <mergeCell ref="B4:M4"/>
    <mergeCell ref="A2:M2"/>
  </mergeCells>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FACT_CapitalTransactions</t>
        </is>
      </c>
    </row>
    <row r="2" ht="16" customHeight="1">
      <c r="A2" s="2" t="inlineStr">
        <is>
          <t>PASSRESS MIS   |   Home ▸ FACT_CapitalTransactions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11_Capital — this is the Data Model-ready version of it.</t>
        </is>
      </c>
    </row>
    <row r="5" hidden="1" outlineLevel="1" ht="13" customHeight="1">
      <c r="A5" s="4" t="inlineStr">
        <is>
          <t>Input tables</t>
        </is>
      </c>
      <c r="B5" s="5" t="inlineStr">
        <is>
          <t>11_Capital manual entry table(s).</t>
        </is>
      </c>
    </row>
    <row r="6" hidden="1" outlineLevel="1" ht="13" customHeight="1">
      <c r="A6" s="4" t="inlineStr">
        <is>
          <t>Output tables</t>
        </is>
      </c>
      <c r="B6" s="5" t="inlineStr">
        <is>
          <t>Referenced by DAX measures across 08_Finance, 09_Profitability, 02/03 dashboards.</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11_Capital (already the source of truth — no external system). Loaded into this mirror in Phase 4 (Data Model wiring).</t>
        </is>
      </c>
    </row>
    <row r="9" hidden="1" outlineLevel="1"/>
    <row r="10" ht="6" customHeight="1"/>
    <row r="11" ht="18" customHeight="1">
      <c r="B11" s="17" t="inlineStr">
        <is>
          <t>CapitalKey</t>
        </is>
      </c>
      <c r="C11" s="17" t="inlineStr">
        <is>
          <t>Date</t>
        </is>
      </c>
      <c r="D11" s="17" t="inlineStr">
        <is>
          <t>Owner</t>
        </is>
      </c>
      <c r="E11" s="17" t="inlineStr">
        <is>
          <t>TransactionType</t>
        </is>
      </c>
      <c r="F11" s="17" t="inlineStr">
        <is>
          <t>Amount</t>
        </is>
      </c>
    </row>
    <row r="12">
      <c r="B12" s="32" t="n"/>
      <c r="C12" s="32" t="n"/>
      <c r="D12" s="32" t="n"/>
      <c r="E12" s="32" t="n"/>
      <c r="F12" s="3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pageMargins left="0.75" right="0.75" top="1" bottom="1" header="0.5" footer="0.5"/>
  <tableParts count="1">
    <tablePart xmlns:r="http://schemas.openxmlformats.org/officeDocument/2006/relationships" r:id="rId1"/>
  </tableParts>
</worksheet>
</file>

<file path=xl/worksheets/sheet40.xml><?xml version="1.0" encoding="utf-8"?>
<worksheet xmlns="http://schemas.openxmlformats.org/spreadsheetml/2006/main">
  <sheetPr>
    <tabColor rgb="00595959"/>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FACT_PurchaseOrderHeader</t>
        </is>
      </c>
    </row>
    <row r="2" ht="16" customHeight="1">
      <c r="A2" s="2" t="inlineStr">
        <is>
          <t>PASSRESS MIS   |   Home ▸ FACT_PurchaseOrderHeader</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Header table) — this is the Data Model-ready version of it.</t>
        </is>
      </c>
    </row>
    <row r="5" hidden="1" outlineLevel="1" ht="13" customHeight="1">
      <c r="A5" s="4" t="inlineStr">
        <is>
          <t>Input tables</t>
        </is>
      </c>
      <c r="B5" s="5" t="inlineStr">
        <is>
          <t>12_Suppliers (PO Header table) manual entry table(s).</t>
        </is>
      </c>
    </row>
    <row r="6" hidden="1" outlineLevel="1" ht="13" customHeight="1">
      <c r="A6" s="4" t="inlineStr">
        <is>
          <t>Output tables</t>
        </is>
      </c>
      <c r="B6" s="5" t="inlineStr">
        <is>
          <t>Referenced by DAX measures across 08_Finance, 09_Profitability, 02/03 dashboards.</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12_Suppliers (PO Header table) (already the source of truth — no external system). Loaded into this mirror in Phase 4 (Data Model wiring).</t>
        </is>
      </c>
    </row>
    <row r="9" hidden="1" outlineLevel="1"/>
    <row r="10" ht="6" customHeight="1"/>
    <row r="11" ht="18" customHeight="1">
      <c r="B11" s="17" t="inlineStr">
        <is>
          <t>PONumber</t>
        </is>
      </c>
      <c r="C11" s="17" t="inlineStr">
        <is>
          <t>SupplierID</t>
        </is>
      </c>
      <c r="D11" s="17" t="inlineStr">
        <is>
          <t>OrderDate</t>
        </is>
      </c>
      <c r="E11" s="17" t="inlineStr">
        <is>
          <t>ExpectedDeliveryDate</t>
        </is>
      </c>
      <c r="F11" s="17" t="inlineStr">
        <is>
          <t>Status</t>
        </is>
      </c>
      <c r="G11" s="17" t="inlineStr">
        <is>
          <t>Currency</t>
        </is>
      </c>
    </row>
    <row r="12">
      <c r="B12" s="32" t="n"/>
      <c r="C12" s="32" t="n"/>
      <c r="D12" s="32" t="n"/>
      <c r="E12" s="32" t="n"/>
      <c r="F12" s="32" t="n"/>
      <c r="G12" s="3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pageMargins left="0.75" right="0.75" top="1" bottom="1" header="0.5" footer="0.5"/>
  <tableParts count="1">
    <tablePart xmlns:r="http://schemas.openxmlformats.org/officeDocument/2006/relationships" r:id="rId1"/>
  </tableParts>
</worksheet>
</file>

<file path=xl/worksheets/sheet41.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FACT_PurchaseOrderLines</t>
        </is>
      </c>
    </row>
    <row r="2" ht="16" customHeight="1">
      <c r="A2" s="2" t="inlineStr">
        <is>
          <t>PASSRESS MIS   |   Home ▸ FACT_PurchaseOrderLines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Lines table) — this is the Data Model-ready version of it.</t>
        </is>
      </c>
    </row>
    <row r="5" hidden="1" outlineLevel="1" ht="13" customHeight="1">
      <c r="A5" s="4" t="inlineStr">
        <is>
          <t>Input tables</t>
        </is>
      </c>
      <c r="B5" s="5" t="inlineStr">
        <is>
          <t>12_Suppliers (PO Lines table) manual entry table(s).</t>
        </is>
      </c>
    </row>
    <row r="6" hidden="1" outlineLevel="1" ht="13" customHeight="1">
      <c r="A6" s="4" t="inlineStr">
        <is>
          <t>Output tables</t>
        </is>
      </c>
      <c r="B6" s="5" t="inlineStr">
        <is>
          <t>Referenced by DAX measures across 08_Finance, 09_Profitability, 02/03 dashboards.</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12_Suppliers (PO Lines table) (already the source of truth — no external system). Loaded into this mirror in Phase 4 (Data Model wiring).</t>
        </is>
      </c>
    </row>
    <row r="9" hidden="1" outlineLevel="1"/>
    <row r="10" ht="6" customHeight="1"/>
    <row r="11" ht="18" customHeight="1">
      <c r="B11" s="17" t="inlineStr">
        <is>
          <t>PONumber</t>
        </is>
      </c>
      <c r="C11" s="17" t="inlineStr">
        <is>
          <t>SKU</t>
        </is>
      </c>
      <c r="D11" s="17" t="inlineStr">
        <is>
          <t>QuantityOrdered</t>
        </is>
      </c>
      <c r="E11" s="17" t="inlineStr">
        <is>
          <t>UnitCost</t>
        </is>
      </c>
      <c r="F11" s="17" t="inlineStr">
        <is>
          <t>TotalCost</t>
        </is>
      </c>
    </row>
    <row r="12">
      <c r="B12" s="32" t="n"/>
      <c r="C12" s="32" t="n"/>
      <c r="D12" s="32" t="n"/>
      <c r="E12" s="32" t="n"/>
      <c r="F12" s="3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pageMargins left="0.75" right="0.75" top="1" bottom="1" header="0.5" footer="0.5"/>
  <tableParts count="1">
    <tablePart xmlns:r="http://schemas.openxmlformats.org/officeDocument/2006/relationships" r:id="rId1"/>
  </tableParts>
</worksheet>
</file>

<file path=xl/worksheets/sheet42.xml><?xml version="1.0" encoding="utf-8"?>
<worksheet xmlns="http://schemas.openxmlformats.org/spreadsheetml/2006/main">
  <sheetPr>
    <tabColor rgb="00595959"/>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FACT_GoodsReceipt</t>
        </is>
      </c>
    </row>
    <row r="2" ht="16" customHeight="1">
      <c r="A2" s="2" t="inlineStr">
        <is>
          <t>PASSRESS MIS   |   Home ▸ FACT_GoodsReceipt</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(Goods Receipt table) — this is the Data Model-ready version of it.</t>
        </is>
      </c>
    </row>
    <row r="5" hidden="1" outlineLevel="1" ht="13" customHeight="1">
      <c r="A5" s="4" t="inlineStr">
        <is>
          <t>Input tables</t>
        </is>
      </c>
      <c r="B5" s="5" t="inlineStr">
        <is>
          <t>12_Suppliers (Goods Receipt table) manual entry table(s).</t>
        </is>
      </c>
    </row>
    <row r="6" hidden="1" outlineLevel="1" ht="13" customHeight="1">
      <c r="A6" s="4" t="inlineStr">
        <is>
          <t>Output tables</t>
        </is>
      </c>
      <c r="B6" s="5" t="inlineStr">
        <is>
          <t>Referenced by DAX measures across 08_Finance, 09_Profitability, 02/03 dashboards.</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12_Suppliers (Goods Receipt table) (already the source of truth — no external system). Loaded into this mirror in Phase 4 (Data Model wiring).</t>
        </is>
      </c>
    </row>
    <row r="9" hidden="1" outlineLevel="1"/>
    <row r="10" ht="6" customHeight="1"/>
    <row r="11" ht="18" customHeight="1">
      <c r="B11" s="17" t="inlineStr">
        <is>
          <t>PONumber</t>
        </is>
      </c>
      <c r="C11" s="17" t="inlineStr">
        <is>
          <t>SKU</t>
        </is>
      </c>
      <c r="D11" s="17" t="inlineStr">
        <is>
          <t>GoodsReceivedDate</t>
        </is>
      </c>
      <c r="E11" s="17" t="inlineStr">
        <is>
          <t>QuantityReceived</t>
        </is>
      </c>
      <c r="F11" s="17" t="inlineStr">
        <is>
          <t>RemainingQuantity</t>
        </is>
      </c>
      <c r="G11" s="17" t="inlineStr">
        <is>
          <t>ActualUnitCost</t>
        </is>
      </c>
      <c r="H11" s="17" t="inlineStr">
        <is>
          <t>VarianceFromPO</t>
        </is>
      </c>
      <c r="I11" s="17" t="inlineStr">
        <is>
          <t>Warehouse</t>
        </is>
      </c>
    </row>
    <row r="12">
      <c r="B12" s="32" t="n"/>
      <c r="C12" s="32" t="n"/>
      <c r="D12" s="32" t="n"/>
      <c r="E12" s="32" t="n"/>
      <c r="F12" s="32" t="n"/>
      <c r="G12" s="32" t="n"/>
      <c r="H12" s="32" t="n"/>
      <c r="I12" s="3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pageMargins left="0.75" right="0.75" top="1" bottom="1" header="0.5" footer="0.5"/>
  <tableParts count="1">
    <tablePart xmlns:r="http://schemas.openxmlformats.org/officeDocument/2006/relationships" r:id="rId1"/>
  </tableParts>
</worksheet>
</file>

<file path=xl/worksheets/sheet43.xml><?xml version="1.0" encoding="utf-8"?>
<worksheet xmlns="http://schemas.openxmlformats.org/spreadsheetml/2006/main">
  <sheetPr>
    <tabColor rgb="00C55A11"/>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LOG_RefreshHistory</t>
        </is>
      </c>
    </row>
    <row r="2" ht="16" customHeight="1">
      <c r="A2" s="2" t="inlineStr">
        <is>
          <t>PASSRESS MIS   |   Home ▸ LOG_RefreshHistory</t>
        </is>
      </c>
    </row>
    <row r="3" ht="14" customHeight="1">
      <c r="A3" s="3" t="inlineStr">
        <is>
          <t>Sheet Documentation  (use the  +  outline control at left to expand)</t>
        </is>
      </c>
    </row>
    <row r="4" hidden="1" outlineLevel="1" ht="13" customHeight="1">
      <c r="A4" s="4" t="inlineStr">
        <is>
          <t>Purpose</t>
        </is>
      </c>
      <c r="B4" s="5" t="inlineStr">
        <is>
          <t>Append-only log of every workbook refresh: what ran, how many rows moved, and how long it took.</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24" t="inlineStr">
        <is>
          <t>RefreshID</t>
        </is>
      </c>
      <c r="C11" s="24" t="inlineStr">
        <is>
          <t>Timestamp</t>
        </is>
      </c>
      <c r="D11" s="24" t="inlineStr">
        <is>
          <t>Source</t>
        </is>
      </c>
      <c r="E11" s="24" t="inlineStr">
        <is>
          <t>RowsLoaded</t>
        </is>
      </c>
      <c r="F11" s="24" t="inlineStr">
        <is>
          <t>RowsUpdated</t>
        </is>
      </c>
      <c r="G11" s="24" t="inlineStr">
        <is>
          <t>Errors</t>
        </is>
      </c>
      <c r="H11" s="24" t="inlineStr">
        <is>
          <t>DurationSeconds</t>
        </is>
      </c>
      <c r="I11" s="24" t="inlineStr">
        <is>
          <t>TriggeredBy</t>
        </is>
      </c>
    </row>
    <row r="12">
      <c r="B12" s="18" t="n"/>
      <c r="C12" s="18" t="n"/>
      <c r="D12" s="18" t="n"/>
      <c r="E12" s="18" t="n"/>
      <c r="F12" s="18" t="n"/>
      <c r="G12" s="18" t="n"/>
      <c r="H12" s="18" t="n"/>
      <c r="I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pageMargins left="0.75" right="0.75" top="1" bottom="1" header="0.5" footer="0.5"/>
  <tableParts count="1">
    <tablePart xmlns:r="http://schemas.openxmlformats.org/officeDocument/2006/relationships" r:id="rId1"/>
  </tableParts>
</worksheet>
</file>

<file path=xl/worksheets/sheet44.xml><?xml version="1.0" encoding="utf-8"?>
<worksheet xmlns="http://schemas.openxmlformats.org/spreadsheetml/2006/main">
  <sheetPr>
    <tabColor rgb="00C55A11"/>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LOG_DataQuality</t>
        </is>
      </c>
    </row>
    <row r="2" ht="16" customHeight="1">
      <c r="A2" s="2" t="inlineStr">
        <is>
          <t>PASSRESS MIS   |   Home ▸ LOG_DataQuality</t>
        </is>
      </c>
    </row>
    <row r="3" ht="14" customHeight="1">
      <c r="A3" s="3" t="inlineStr">
        <is>
          <t>Sheet Documentation  (use the  +  outline control at left to expand)</t>
        </is>
      </c>
    </row>
    <row r="4" hidden="1" outlineLevel="1" ht="13" customHeight="1">
      <c r="A4" s="4" t="inlineStr">
        <is>
          <t>Purpose</t>
        </is>
      </c>
      <c r="B4" s="5" t="inlineStr">
        <is>
          <t>Append-only log of validation-rule results, one row per check per refresh.</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24" t="inlineStr">
        <is>
          <t>CheckID</t>
        </is>
      </c>
      <c r="C11" s="24" t="inlineStr">
        <is>
          <t>Timestamp</t>
        </is>
      </c>
      <c r="D11" s="24" t="inlineStr">
        <is>
          <t>CheckName</t>
        </is>
      </c>
      <c r="E11" s="24" t="inlineStr">
        <is>
          <t>TableName</t>
        </is>
      </c>
      <c r="F11" s="24" t="inlineStr">
        <is>
          <t>Status</t>
        </is>
      </c>
      <c r="G11" s="24" t="inlineStr">
        <is>
          <t>Details</t>
        </is>
      </c>
    </row>
    <row r="12">
      <c r="B12" s="18" t="n"/>
      <c r="C12" s="18" t="n"/>
      <c r="D12" s="18" t="n"/>
      <c r="E12" s="18" t="n"/>
      <c r="F12" s="18" t="n"/>
      <c r="G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2026-07-26T09:20:27Z</dcterms:created>
  <dcterms:modified xsi:type="dcterms:W3CDTF">2026-07-26T09:20:28Z</dcterms:modified>
</cp:coreProperties>
</file>